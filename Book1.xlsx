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ceintern\"/>
    </mc:Choice>
  </mc:AlternateContent>
  <xr:revisionPtr revIDLastSave="0" documentId="13_ncr:1_{39373699-CD42-4AC1-A496-C87ECE73EC63}" xr6:coauthVersionLast="47" xr6:coauthVersionMax="47" xr10:uidLastSave="{00000000-0000-0000-0000-000000000000}"/>
  <bookViews>
    <workbookView xWindow="-108" yWindow="-108" windowWidth="23256" windowHeight="12456" xr2:uid="{2910C187-575C-414D-93EC-74620E0AB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3" i="1" l="1"/>
  <c r="F543" i="1"/>
  <c r="E543" i="1"/>
  <c r="D543" i="1"/>
  <c r="C543" i="1"/>
  <c r="B543" i="1"/>
  <c r="A543" i="1"/>
  <c r="G542" i="1"/>
  <c r="F542" i="1"/>
  <c r="E542" i="1"/>
  <c r="D542" i="1"/>
  <c r="C542" i="1"/>
  <c r="B542" i="1"/>
  <c r="A542" i="1"/>
  <c r="G541" i="1"/>
  <c r="F541" i="1"/>
  <c r="E541" i="1"/>
  <c r="D541" i="1"/>
  <c r="C541" i="1"/>
  <c r="B541" i="1"/>
  <c r="A541" i="1"/>
  <c r="G540" i="1"/>
  <c r="F540" i="1"/>
  <c r="E540" i="1"/>
  <c r="D540" i="1"/>
  <c r="C540" i="1"/>
  <c r="B540" i="1"/>
  <c r="A540" i="1"/>
  <c r="G539" i="1"/>
  <c r="F539" i="1"/>
  <c r="E539" i="1"/>
  <c r="D539" i="1"/>
  <c r="C539" i="1"/>
  <c r="B539" i="1"/>
  <c r="A539" i="1"/>
  <c r="G538" i="1"/>
  <c r="F538" i="1"/>
  <c r="E538" i="1"/>
  <c r="D538" i="1"/>
  <c r="C538" i="1"/>
  <c r="B538" i="1"/>
  <c r="A538" i="1"/>
  <c r="G537" i="1"/>
  <c r="F537" i="1"/>
  <c r="E537" i="1"/>
  <c r="D537" i="1"/>
  <c r="C537" i="1"/>
  <c r="B537" i="1"/>
  <c r="A537" i="1"/>
  <c r="G536" i="1"/>
  <c r="F536" i="1"/>
  <c r="E536" i="1"/>
  <c r="D536" i="1"/>
  <c r="C536" i="1"/>
  <c r="B536" i="1"/>
  <c r="A536" i="1"/>
  <c r="G535" i="1"/>
  <c r="F535" i="1"/>
  <c r="E535" i="1"/>
  <c r="D535" i="1"/>
  <c r="C535" i="1"/>
  <c r="B535" i="1"/>
  <c r="A535" i="1"/>
  <c r="G534" i="1"/>
  <c r="F534" i="1"/>
  <c r="E534" i="1"/>
  <c r="D534" i="1"/>
  <c r="C534" i="1"/>
  <c r="B534" i="1"/>
  <c r="A534" i="1"/>
  <c r="G533" i="1"/>
  <c r="F533" i="1"/>
  <c r="E533" i="1"/>
  <c r="D533" i="1"/>
  <c r="C533" i="1"/>
  <c r="B533" i="1"/>
  <c r="A533" i="1"/>
  <c r="G532" i="1"/>
  <c r="F532" i="1"/>
  <c r="E532" i="1"/>
  <c r="D532" i="1"/>
  <c r="C532" i="1"/>
  <c r="B532" i="1"/>
  <c r="A532" i="1"/>
  <c r="G531" i="1"/>
  <c r="F531" i="1"/>
  <c r="E531" i="1"/>
  <c r="D531" i="1"/>
  <c r="C531" i="1"/>
  <c r="B531" i="1"/>
  <c r="A531" i="1"/>
  <c r="G530" i="1"/>
  <c r="F530" i="1"/>
  <c r="E530" i="1"/>
  <c r="D530" i="1"/>
  <c r="C530" i="1"/>
  <c r="B530" i="1"/>
  <c r="A530" i="1"/>
  <c r="G529" i="1"/>
  <c r="F529" i="1"/>
  <c r="E529" i="1"/>
  <c r="D529" i="1"/>
  <c r="C529" i="1"/>
  <c r="B529" i="1"/>
  <c r="A529" i="1"/>
  <c r="G528" i="1"/>
  <c r="F528" i="1"/>
  <c r="E528" i="1"/>
  <c r="D528" i="1"/>
  <c r="C528" i="1"/>
  <c r="B528" i="1"/>
  <c r="A528" i="1"/>
  <c r="G527" i="1"/>
  <c r="F527" i="1"/>
  <c r="E527" i="1"/>
  <c r="D527" i="1"/>
  <c r="C527" i="1"/>
  <c r="B527" i="1"/>
  <c r="A527" i="1"/>
  <c r="G526" i="1"/>
  <c r="F526" i="1"/>
  <c r="E526" i="1"/>
  <c r="D526" i="1"/>
  <c r="C526" i="1"/>
  <c r="B526" i="1"/>
  <c r="A526" i="1"/>
  <c r="G525" i="1"/>
  <c r="F525" i="1"/>
  <c r="E525" i="1"/>
  <c r="D525" i="1"/>
  <c r="C525" i="1"/>
  <c r="B525" i="1"/>
  <c r="A525" i="1"/>
  <c r="G524" i="1"/>
  <c r="F524" i="1"/>
  <c r="E524" i="1"/>
  <c r="D524" i="1"/>
  <c r="C524" i="1"/>
  <c r="B524" i="1"/>
  <c r="A524" i="1"/>
  <c r="G523" i="1"/>
  <c r="F523" i="1"/>
  <c r="E523" i="1"/>
  <c r="D523" i="1"/>
  <c r="C523" i="1"/>
  <c r="B523" i="1"/>
  <c r="A523" i="1"/>
  <c r="G522" i="1"/>
  <c r="F522" i="1"/>
  <c r="E522" i="1"/>
  <c r="D522" i="1"/>
  <c r="C522" i="1"/>
  <c r="B522" i="1"/>
  <c r="A522" i="1"/>
  <c r="G521" i="1"/>
  <c r="F521" i="1"/>
  <c r="E521" i="1"/>
  <c r="D521" i="1"/>
  <c r="C521" i="1"/>
  <c r="B521" i="1"/>
  <c r="A521" i="1"/>
  <c r="G520" i="1"/>
  <c r="F520" i="1"/>
  <c r="E520" i="1"/>
  <c r="D520" i="1"/>
  <c r="C520" i="1"/>
  <c r="B520" i="1"/>
  <c r="A520" i="1"/>
  <c r="G519" i="1"/>
  <c r="F519" i="1"/>
  <c r="E519" i="1"/>
  <c r="D519" i="1"/>
  <c r="C519" i="1"/>
  <c r="B519" i="1"/>
  <c r="A519" i="1"/>
  <c r="G518" i="1"/>
  <c r="F518" i="1"/>
  <c r="E518" i="1"/>
  <c r="D518" i="1"/>
  <c r="C518" i="1"/>
  <c r="B518" i="1"/>
  <c r="A518" i="1"/>
  <c r="G517" i="1"/>
  <c r="F517" i="1"/>
  <c r="E517" i="1"/>
  <c r="D517" i="1"/>
  <c r="C517" i="1"/>
  <c r="B517" i="1"/>
  <c r="A517" i="1"/>
  <c r="G516" i="1"/>
  <c r="F516" i="1"/>
  <c r="E516" i="1"/>
  <c r="D516" i="1"/>
  <c r="C516" i="1"/>
  <c r="B516" i="1"/>
  <c r="A516" i="1"/>
  <c r="G515" i="1"/>
  <c r="F515" i="1"/>
  <c r="E515" i="1"/>
  <c r="D515" i="1"/>
  <c r="C515" i="1"/>
  <c r="B515" i="1"/>
  <c r="A515" i="1"/>
  <c r="G514" i="1"/>
  <c r="F514" i="1"/>
  <c r="E514" i="1"/>
  <c r="D514" i="1"/>
  <c r="C514" i="1"/>
  <c r="B514" i="1"/>
  <c r="A514" i="1"/>
  <c r="G513" i="1"/>
  <c r="F513" i="1"/>
  <c r="E513" i="1"/>
  <c r="D513" i="1"/>
  <c r="C513" i="1"/>
  <c r="B513" i="1"/>
  <c r="A513" i="1"/>
  <c r="G512" i="1"/>
  <c r="F512" i="1"/>
  <c r="E512" i="1"/>
  <c r="D512" i="1"/>
  <c r="C512" i="1"/>
  <c r="B512" i="1"/>
  <c r="A512" i="1"/>
  <c r="G511" i="1"/>
  <c r="F511" i="1"/>
  <c r="E511" i="1"/>
  <c r="D511" i="1"/>
  <c r="C511" i="1"/>
  <c r="B511" i="1"/>
  <c r="A511" i="1"/>
  <c r="G510" i="1"/>
  <c r="F510" i="1"/>
  <c r="E510" i="1"/>
  <c r="D510" i="1"/>
  <c r="C510" i="1"/>
  <c r="B510" i="1"/>
  <c r="A510" i="1"/>
  <c r="G509" i="1"/>
  <c r="F509" i="1"/>
  <c r="E509" i="1"/>
  <c r="D509" i="1"/>
  <c r="C509" i="1"/>
  <c r="B509" i="1"/>
  <c r="A509" i="1"/>
  <c r="G508" i="1"/>
  <c r="F508" i="1"/>
  <c r="E508" i="1"/>
  <c r="D508" i="1"/>
  <c r="C508" i="1"/>
  <c r="B508" i="1"/>
  <c r="A508" i="1"/>
  <c r="G507" i="1"/>
  <c r="F507" i="1"/>
  <c r="E507" i="1"/>
  <c r="D507" i="1"/>
  <c r="C507" i="1"/>
  <c r="B507" i="1"/>
  <c r="A507" i="1"/>
  <c r="G506" i="1"/>
  <c r="F506" i="1"/>
  <c r="E506" i="1"/>
  <c r="D506" i="1"/>
  <c r="C506" i="1"/>
  <c r="B506" i="1"/>
  <c r="A506" i="1"/>
  <c r="G505" i="1"/>
  <c r="F505" i="1"/>
  <c r="E505" i="1"/>
  <c r="D505" i="1"/>
  <c r="C505" i="1"/>
  <c r="B505" i="1"/>
  <c r="A505" i="1"/>
  <c r="G504" i="1"/>
  <c r="F504" i="1"/>
  <c r="E504" i="1"/>
  <c r="D504" i="1"/>
  <c r="C504" i="1"/>
  <c r="B504" i="1"/>
  <c r="A504" i="1"/>
  <c r="G503" i="1"/>
  <c r="F503" i="1"/>
  <c r="E503" i="1"/>
  <c r="D503" i="1"/>
  <c r="C503" i="1"/>
  <c r="B503" i="1"/>
  <c r="A503" i="1"/>
  <c r="G502" i="1"/>
  <c r="F502" i="1"/>
  <c r="E502" i="1"/>
  <c r="D502" i="1"/>
  <c r="C502" i="1"/>
  <c r="B502" i="1"/>
  <c r="A502" i="1"/>
  <c r="G501" i="1"/>
  <c r="F501" i="1"/>
  <c r="E501" i="1"/>
  <c r="D501" i="1"/>
  <c r="C501" i="1"/>
  <c r="B501" i="1"/>
  <c r="A501" i="1"/>
  <c r="G500" i="1"/>
  <c r="F500" i="1"/>
  <c r="E500" i="1"/>
  <c r="D500" i="1"/>
  <c r="C500" i="1"/>
  <c r="B500" i="1"/>
  <c r="A500" i="1"/>
  <c r="G499" i="1"/>
  <c r="F499" i="1"/>
  <c r="E499" i="1"/>
  <c r="D499" i="1"/>
  <c r="C499" i="1"/>
  <c r="B499" i="1"/>
  <c r="A499" i="1"/>
  <c r="G498" i="1"/>
  <c r="F498" i="1"/>
  <c r="E498" i="1"/>
  <c r="D498" i="1"/>
  <c r="C498" i="1"/>
  <c r="B498" i="1"/>
  <c r="A498" i="1"/>
  <c r="G497" i="1"/>
  <c r="F497" i="1"/>
  <c r="E497" i="1"/>
  <c r="D497" i="1"/>
  <c r="C497" i="1"/>
  <c r="B497" i="1"/>
  <c r="A497" i="1"/>
  <c r="G496" i="1"/>
  <c r="F496" i="1"/>
  <c r="E496" i="1"/>
  <c r="D496" i="1"/>
  <c r="C496" i="1"/>
  <c r="B496" i="1"/>
  <c r="A496" i="1"/>
  <c r="G495" i="1"/>
  <c r="F495" i="1"/>
  <c r="E495" i="1"/>
  <c r="D495" i="1"/>
  <c r="C495" i="1"/>
  <c r="B495" i="1"/>
  <c r="A495" i="1"/>
  <c r="G494" i="1"/>
  <c r="F494" i="1"/>
  <c r="E494" i="1"/>
  <c r="D494" i="1"/>
  <c r="C494" i="1"/>
  <c r="B494" i="1"/>
  <c r="A494" i="1"/>
  <c r="G493" i="1"/>
  <c r="F493" i="1"/>
  <c r="E493" i="1"/>
  <c r="D493" i="1"/>
  <c r="C493" i="1"/>
  <c r="B493" i="1"/>
  <c r="A493" i="1"/>
  <c r="G492" i="1"/>
  <c r="F492" i="1"/>
  <c r="E492" i="1"/>
  <c r="D492" i="1"/>
  <c r="C492" i="1"/>
  <c r="B492" i="1"/>
  <c r="A492" i="1"/>
  <c r="G491" i="1"/>
  <c r="F491" i="1"/>
  <c r="E491" i="1"/>
  <c r="D491" i="1"/>
  <c r="C491" i="1"/>
  <c r="B491" i="1"/>
  <c r="A491" i="1"/>
  <c r="G490" i="1"/>
  <c r="F490" i="1"/>
  <c r="E490" i="1"/>
  <c r="D490" i="1"/>
  <c r="C490" i="1"/>
  <c r="B490" i="1"/>
  <c r="A490" i="1"/>
  <c r="G489" i="1"/>
  <c r="F489" i="1"/>
  <c r="E489" i="1"/>
  <c r="D489" i="1"/>
  <c r="C489" i="1"/>
  <c r="B489" i="1"/>
  <c r="A489" i="1"/>
  <c r="G488" i="1"/>
  <c r="F488" i="1"/>
  <c r="E488" i="1"/>
  <c r="D488" i="1"/>
  <c r="C488" i="1"/>
  <c r="B488" i="1"/>
  <c r="A488" i="1"/>
  <c r="G487" i="1"/>
  <c r="F487" i="1"/>
  <c r="E487" i="1"/>
  <c r="D487" i="1"/>
  <c r="C487" i="1"/>
  <c r="B487" i="1"/>
  <c r="A487" i="1"/>
  <c r="G486" i="1"/>
  <c r="F486" i="1"/>
  <c r="E486" i="1"/>
  <c r="D486" i="1"/>
  <c r="C486" i="1"/>
  <c r="B486" i="1"/>
  <c r="A486" i="1"/>
  <c r="G485" i="1"/>
  <c r="F485" i="1"/>
  <c r="E485" i="1"/>
  <c r="D485" i="1"/>
  <c r="C485" i="1"/>
  <c r="B485" i="1"/>
  <c r="A485" i="1"/>
  <c r="G484" i="1"/>
  <c r="F484" i="1"/>
  <c r="E484" i="1"/>
  <c r="D484" i="1"/>
  <c r="C484" i="1"/>
  <c r="B484" i="1"/>
  <c r="A484" i="1"/>
  <c r="G483" i="1"/>
  <c r="F483" i="1"/>
  <c r="E483" i="1"/>
  <c r="D483" i="1"/>
  <c r="C483" i="1"/>
  <c r="B483" i="1"/>
  <c r="A483" i="1"/>
  <c r="G482" i="1"/>
  <c r="F482" i="1"/>
  <c r="E482" i="1"/>
  <c r="D482" i="1"/>
  <c r="C482" i="1"/>
  <c r="B482" i="1"/>
  <c r="A482" i="1"/>
  <c r="G481" i="1"/>
  <c r="F481" i="1"/>
  <c r="E481" i="1"/>
  <c r="D481" i="1"/>
  <c r="C481" i="1"/>
  <c r="B481" i="1"/>
  <c r="A481" i="1"/>
  <c r="G480" i="1"/>
  <c r="F480" i="1"/>
  <c r="E480" i="1"/>
  <c r="D480" i="1"/>
  <c r="C480" i="1"/>
  <c r="B480" i="1"/>
  <c r="A480" i="1"/>
  <c r="G479" i="1"/>
  <c r="F479" i="1"/>
  <c r="E479" i="1"/>
  <c r="D479" i="1"/>
  <c r="C479" i="1"/>
  <c r="B479" i="1"/>
  <c r="A479" i="1"/>
  <c r="G478" i="1"/>
  <c r="F478" i="1"/>
  <c r="E478" i="1"/>
  <c r="D478" i="1"/>
  <c r="C478" i="1"/>
  <c r="B478" i="1"/>
  <c r="A478" i="1"/>
  <c r="G477" i="1"/>
  <c r="F477" i="1"/>
  <c r="E477" i="1"/>
  <c r="D477" i="1"/>
  <c r="C477" i="1"/>
  <c r="B477" i="1"/>
  <c r="A477" i="1"/>
  <c r="G476" i="1"/>
  <c r="F476" i="1"/>
  <c r="E476" i="1"/>
  <c r="D476" i="1"/>
  <c r="C476" i="1"/>
  <c r="B476" i="1"/>
  <c r="A476" i="1"/>
  <c r="G475" i="1"/>
  <c r="F475" i="1"/>
  <c r="E475" i="1"/>
  <c r="D475" i="1"/>
  <c r="C475" i="1"/>
  <c r="B475" i="1"/>
  <c r="A475" i="1"/>
  <c r="G474" i="1"/>
  <c r="F474" i="1"/>
  <c r="E474" i="1"/>
  <c r="D474" i="1"/>
  <c r="C474" i="1"/>
  <c r="B474" i="1"/>
  <c r="A474" i="1"/>
  <c r="G473" i="1"/>
  <c r="F473" i="1"/>
  <c r="E473" i="1"/>
  <c r="D473" i="1"/>
  <c r="C473" i="1"/>
  <c r="B473" i="1"/>
  <c r="A473" i="1"/>
  <c r="G472" i="1"/>
  <c r="F472" i="1"/>
  <c r="E472" i="1"/>
  <c r="D472" i="1"/>
  <c r="C472" i="1"/>
  <c r="B472" i="1"/>
  <c r="A472" i="1"/>
  <c r="G471" i="1"/>
  <c r="F471" i="1"/>
  <c r="E471" i="1"/>
  <c r="D471" i="1"/>
  <c r="C471" i="1"/>
  <c r="B471" i="1"/>
  <c r="A471" i="1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2" i="1"/>
  <c r="F2" i="1"/>
  <c r="E2" i="1"/>
  <c r="D2" i="1"/>
  <c r="C2" i="1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tc={3C42A222-4259-41F5-8160-3EDB7153A124}</author>
    <author>tc={5E97F333-340B-4991-BCD6-58EE229E6EED}</author>
    <author>tc={83A500D2-847B-4E0F-AB76-5A93E43971EE}</author>
  </authors>
  <commentList>
    <comment ref="F74" authorId="0" shapeId="0" xr:uid="{3C42A222-4259-41F5-8160-3EDB715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Raman.daisy2014@gmail.com</t>
      </text>
    </comment>
    <comment ref="G74" authorId="1" shapeId="0" xr:uid="{5E97F333-340B-4991-BCD6-58EE229E6EED}">
      <text>
        <t>[Threaded comment]
Your version of Excel allows you to read this threaded comment; however, any edits to it will get removed if the file is opened in a newer version of Excel. Learn more: https://go.microsoft.com/fwlink/?linkid=870924
Comment:
    9501018495</t>
      </text>
    </comment>
    <comment ref="F355" authorId="2" shapeId="0" xr:uid="{83A500D2-847B-4E0F-AB76-5A93E439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dhaliwalbalbirsingh@gmail.com
Reply:
    Marked as resolved
Reply:
    Re-opened</t>
      </text>
    </comment>
  </commentList>
</comments>
</file>

<file path=xl/sharedStrings.xml><?xml version="1.0" encoding="utf-8"?>
<sst xmlns="http://schemas.openxmlformats.org/spreadsheetml/2006/main" count="7" uniqueCount="7">
  <si>
    <t>Name of the College</t>
  </si>
  <si>
    <t>District</t>
  </si>
  <si>
    <t>Contact Number</t>
  </si>
  <si>
    <t>Course</t>
  </si>
  <si>
    <t>Designation</t>
  </si>
  <si>
    <t>Name of the Faculty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</si>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</sst>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anpreet K" id="{D2ED3F6F-1911-42EF-A4D5-55BC5E0DE394}" userId="" providerId="google-sheets"/>
  <person displayName="Abhay Vashisht" id="{B34631ED-7C10-490B-895F-CEAD04215BDA}" userId="" providerId="google-sheets"/>
  <person displayName="Balbir Dhaliwal" id="{09DE98A6-6D16-447E-96EE-B1E7AEDF7029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4" dT="2025-11-21T02:17:22.00" personId="{D2ED3F6F-1911-42EF-A4D5-55BC5E0DE394}" id="{3C42A222-4259-41F5-8160-3EDB7153A124}" done="1">
    <text>Raman.daisy2014@gmail.com</text>
  </threadedComment>
  <threadedComment ref="G74" dT="2025-11-21T02:18:05.00" personId="{D2ED3F6F-1911-42EF-A4D5-55BC5E0DE394}" id="{5E97F333-340B-4991-BCD6-58EE229E6EED}">
    <text>9501018495</text>
  </threadedComment>
  <threadedComment ref="F355" dT="2025-11-20T04:09:35.00" personId="{09DE98A6-6D16-447E-96EE-B1E7AEDF7029}" id="{83A500D2-847B-4E0F-AB76-5A93E43971EE}">
    <text>dhaliwalbalbirsingh@gmail.com</text>
  </threadedComment>
  <threadedComment ref="F355" dT="2025-11-20T06:18:06.00" personId="{B34631ED-7C10-490B-895F-CEAD04215BDA}" id="{DADF307F-6C97-4A14-91C9-E7E381129FF1}" parentId="{83A500D2-847B-4E0F-AB76-5A93E43971EE}">
    <text>Marked as resolved</text>
  </threadedComment>
  <threadedComment ref="F355" dT="2025-11-20T06:18:27.00" personId="{B34631ED-7C10-490B-895F-CEAD04215BDA}" id="{E1690798-D902-4D33-9E38-CDDBD65AE780}" parentId="{83A500D2-847B-4E0F-AB76-5A93E43971EE}">
    <text>Re-opened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FA86-709A-4D48-8A1C-98A7EEC04090}">
  <dimension ref="A1:G543"/>
  <sheetViews>
    <sheetView tabSelected="1" workbookViewId="0">
      <selection activeCell="B1" sqref="B1:B1048576"/>
    </sheetView>
  </sheetViews>
  <sheetFormatPr defaultRowHeight="14.4" x14ac:dyDescent="0.3"/>
  <cols>
    <col min="1" max="1" width="39.44140625" bestFit="1" customWidth="1"/>
    <col min="2" max="2" width="14.77734375" bestFit="1" customWidth="1"/>
    <col min="3" max="3" width="42.44140625" bestFit="1" customWidth="1"/>
    <col min="4" max="4" width="25.109375" bestFit="1" customWidth="1"/>
    <col min="5" max="5" width="27.109375" bestFit="1" customWidth="1"/>
    <col min="6" max="6" width="41.6640625" bestFit="1" customWidth="1"/>
    <col min="7" max="7" width="15" bestFit="1" customWidth="1"/>
  </cols>
  <sheetData>
    <row r="1" spans="1:7" x14ac:dyDescent="0.3">
      <c r="A1" s="2" t="s">
        <v>0</v>
      </c>
      <c r="B1" s="2" t="s">
        <v>1</v>
      </c>
      <c r="C1" s="2" t="s">
        <v>3</v>
      </c>
      <c r="D1" s="2" t="s">
        <v>5</v>
      </c>
      <c r="E1" s="2" t="s">
        <v>4</v>
      </c>
      <c r="F1" s="2" t="s">
        <v>6</v>
      </c>
      <c r="G1" s="2" t="s">
        <v>2</v>
      </c>
    </row>
    <row r="2" spans="1:7" x14ac:dyDescent="0.3">
      <c r="A2" s="1" t="str">
        <f ca="1">IFERROR(__xludf.DUMMYFUNCTION("query({importrange(Ref!B4, Ref!C4);importrange(Ref!B5, Ref!C5);importrange(Ref!B6, Ref!C6);importrange(Ref!B7, Ref!C7);importrange(Ref!B8, Ref!C8);importrange(Ref!B9, Ref!C9);importrange(Ref!B10, Ref!C10);importrange(Ref!B11, Ref!C11);importrange(Ref!B12,"&amp;" Ref!C12);importrange(Ref!B13, Ref!C13);importrange(Ref!B14, Ref!C14);importrange(Ref!B15, Ref!C15);importrange(Ref!B16, Ref!C16);importrange(Ref!B17, Ref!C17);importrange(Ref!B18, Ref!C18);importrange(Ref!B19, Ref!C19);importrange(Ref!B20, Ref!C20);impor"&amp;"trange(Ref!B21, Ref!C21);importrange(Ref!B22, Ref!C22);importrange(Ref!B23, Ref!C23);importrange(Ref!B24, Ref!C24);importrange(Ref!B25, Ref!C25);importrange(Ref!B26, Ref!C26);importrange(Ref!B27, Ref!C27);importrange(Ref!B28, Ref!C28);importrange(Ref!B29,"&amp;" Ref!C29)}, ""Select * where Col1 is not null"")"),"Govt Institute of Garments Technology Amritsar")</f>
        <v>Govt Institute of Garments Technology Amritsar</v>
      </c>
      <c r="B2" s="1" t="str">
        <f ca="1">IFERROR(__xludf.DUMMYFUNCTION("""COMPUTED_VALUE"""),"Amritsar")</f>
        <v>Amritsar</v>
      </c>
      <c r="C2" s="1" t="str">
        <f ca="1">IFERROR(__xludf.DUMMYFUNCTION("""COMPUTED_VALUE"""),"Fashion Design &amp; Garment Technology")</f>
        <v>Fashion Design &amp; Garment Technology</v>
      </c>
      <c r="D2" s="1" t="str">
        <f ca="1">IFERROR(__xludf.DUMMYFUNCTION("""COMPUTED_VALUE"""),"Sh Narinderpal Singh")</f>
        <v>Sh Narinderpal Singh</v>
      </c>
      <c r="E2" s="1" t="str">
        <f ca="1">IFERROR(__xludf.DUMMYFUNCTION("""COMPUTED_VALUE"""),"Programmer")</f>
        <v>Programmer</v>
      </c>
      <c r="F2" s="1" t="str">
        <f ca="1">IFERROR(__xludf.DUMMYFUNCTION("""COMPUTED_VALUE"""),"npsoni2007@gmail.com")</f>
        <v>npsoni2007@gmail.com</v>
      </c>
      <c r="G2" s="1">
        <f ca="1">IFERROR(__xludf.DUMMYFUNCTION("""COMPUTED_VALUE"""),9501500294)</f>
        <v>9501500294</v>
      </c>
    </row>
    <row r="3" spans="1:7" x14ac:dyDescent="0.3">
      <c r="A3" s="1" t="str">
        <f ca="1">IFERROR(__xludf.DUMMYFUNCTION("""COMPUTED_VALUE"""),"Govt Institute of Garments Technology Amritsar")</f>
        <v>Govt Institute of Garments Technology Amritsar</v>
      </c>
      <c r="B3" s="1" t="str">
        <f ca="1">IFERROR(__xludf.DUMMYFUNCTION("""COMPUTED_VALUE"""),"Amritsar")</f>
        <v>Amritsar</v>
      </c>
      <c r="C3" s="1" t="str">
        <f ca="1">IFERROR(__xludf.DUMMYFUNCTION("""COMPUTED_VALUE"""),"Fashion Design")</f>
        <v>Fashion Design</v>
      </c>
      <c r="D3" s="1" t="str">
        <f ca="1">IFERROR(__xludf.DUMMYFUNCTION("""COMPUTED_VALUE"""),"Smt Raminderjit Kaur")</f>
        <v>Smt Raminderjit Kaur</v>
      </c>
      <c r="E3" s="1" t="str">
        <f ca="1">IFERROR(__xludf.DUMMYFUNCTION("""COMPUTED_VALUE"""),"Fashion Designer")</f>
        <v>Fashion Designer</v>
      </c>
      <c r="F3" s="1" t="str">
        <f ca="1">IFERROR(__xludf.DUMMYFUNCTION("""COMPUTED_VALUE"""),"raminderjeet123@gmail.com")</f>
        <v>raminderjeet123@gmail.com</v>
      </c>
      <c r="G3" s="1">
        <f ca="1">IFERROR(__xludf.DUMMYFUNCTION("""COMPUTED_VALUE"""),9464260908)</f>
        <v>9464260908</v>
      </c>
    </row>
    <row r="4" spans="1:7" x14ac:dyDescent="0.3">
      <c r="A4" s="1" t="str">
        <f ca="1">IFERROR(__xludf.DUMMYFUNCTION("""COMPUTED_VALUE"""),"Govt Institute of Garments Technology Amritsar")</f>
        <v>Govt Institute of Garments Technology Amritsar</v>
      </c>
      <c r="B4" s="1" t="str">
        <f ca="1">IFERROR(__xludf.DUMMYFUNCTION("""COMPUTED_VALUE"""),"Amritsar")</f>
        <v>Amritsar</v>
      </c>
      <c r="C4" s="1" t="str">
        <f ca="1">IFERROR(__xludf.DUMMYFUNCTION("""COMPUTED_VALUE"""),"Fashion Design")</f>
        <v>Fashion Design</v>
      </c>
      <c r="D4" s="1" t="str">
        <f ca="1">IFERROR(__xludf.DUMMYFUNCTION("""COMPUTED_VALUE"""),"Smt Monika Sethi")</f>
        <v>Smt Monika Sethi</v>
      </c>
      <c r="E4" s="1" t="str">
        <f ca="1">IFERROR(__xludf.DUMMYFUNCTION("""COMPUTED_VALUE"""),"Senior Fashion Designer")</f>
        <v>Senior Fashion Designer</v>
      </c>
      <c r="F4" s="1" t="str">
        <f ca="1">IFERROR(__xludf.DUMMYFUNCTION("""COMPUTED_VALUE"""),"mona_juneja@yahoo.com")</f>
        <v>mona_juneja@yahoo.com</v>
      </c>
      <c r="G4" s="1">
        <f ca="1">IFERROR(__xludf.DUMMYFUNCTION("""COMPUTED_VALUE"""),9915069432)</f>
        <v>9915069432</v>
      </c>
    </row>
    <row r="5" spans="1:7" x14ac:dyDescent="0.3">
      <c r="A5" s="1" t="str">
        <f ca="1">IFERROR(__xludf.DUMMYFUNCTION("""COMPUTED_VALUE"""),"Government Polytechnic College, Amritsar")</f>
        <v>Government Polytechnic College, Amritsar</v>
      </c>
      <c r="B5" s="1" t="str">
        <f ca="1">IFERROR(__xludf.DUMMYFUNCTION("""COMPUTED_VALUE"""),"Amritsar")</f>
        <v>Amritsar</v>
      </c>
      <c r="C5" s="1" t="str">
        <f ca="1">IFERROR(__xludf.DUMMYFUNCTION("""COMPUTED_VALUE"""),"Electronics and Communications Engineering")</f>
        <v>Electronics and Communications Engineering</v>
      </c>
      <c r="D5" s="1" t="str">
        <f ca="1">IFERROR(__xludf.DUMMYFUNCTION("""COMPUTED_VALUE"""),"Ratinder Kaur")</f>
        <v>Ratinder Kaur</v>
      </c>
      <c r="E5" s="1" t="str">
        <f ca="1">IFERROR(__xludf.DUMMYFUNCTION("""COMPUTED_VALUE"""),"Lecturer")</f>
        <v>Lecturer</v>
      </c>
      <c r="F5" s="1" t="str">
        <f ca="1">IFERROR(__xludf.DUMMYFUNCTION("""COMPUTED_VALUE"""),"ratindergabbi@gmail.com")</f>
        <v>ratindergabbi@gmail.com</v>
      </c>
      <c r="G5" s="1">
        <f ca="1">IFERROR(__xludf.DUMMYFUNCTION("""COMPUTED_VALUE"""),6283898482)</f>
        <v>6283898482</v>
      </c>
    </row>
    <row r="6" spans="1:7" x14ac:dyDescent="0.3">
      <c r="A6" s="1" t="str">
        <f ca="1">IFERROR(__xludf.DUMMYFUNCTION("""COMPUTED_VALUE"""),"Government Polytechnic College, Amritsar")</f>
        <v>Government Polytechnic College, Amritsar</v>
      </c>
      <c r="B6" s="1" t="str">
        <f ca="1">IFERROR(__xludf.DUMMYFUNCTION("""COMPUTED_VALUE"""),"Amritsar")</f>
        <v>Amritsar</v>
      </c>
      <c r="C6" s="1" t="str">
        <f ca="1">IFERROR(__xludf.DUMMYFUNCTION("""COMPUTED_VALUE"""),"Information Technology")</f>
        <v>Information Technology</v>
      </c>
      <c r="D6" s="1" t="str">
        <f ca="1">IFERROR(__xludf.DUMMYFUNCTION("""COMPUTED_VALUE"""),"Aditi")</f>
        <v>Aditi</v>
      </c>
      <c r="E6" s="1" t="str">
        <f ca="1">IFERROR(__xludf.DUMMYFUNCTION("""COMPUTED_VALUE"""),"Lecturer")</f>
        <v>Lecturer</v>
      </c>
      <c r="F6" s="1" t="str">
        <f ca="1">IFERROR(__xludf.DUMMYFUNCTION("""COMPUTED_VALUE"""),"Aditi199123@gmail.com")</f>
        <v>Aditi199123@gmail.com</v>
      </c>
      <c r="G6" s="1">
        <f ca="1">IFERROR(__xludf.DUMMYFUNCTION("""COMPUTED_VALUE"""),9855580400)</f>
        <v>9855580400</v>
      </c>
    </row>
    <row r="7" spans="1:7" x14ac:dyDescent="0.3">
      <c r="A7" s="1" t="str">
        <f ca="1">IFERROR(__xludf.DUMMYFUNCTION("""COMPUTED_VALUE"""),"Government Polytechnic College, Amritsar")</f>
        <v>Government Polytechnic College, Amritsar</v>
      </c>
      <c r="B7" s="1" t="str">
        <f ca="1">IFERROR(__xludf.DUMMYFUNCTION("""COMPUTED_VALUE"""),"Amritsar")</f>
        <v>Amritsar</v>
      </c>
      <c r="C7" s="1" t="str">
        <f ca="1">IFERROR(__xludf.DUMMYFUNCTION("""COMPUTED_VALUE"""),"Mechanical Engineering")</f>
        <v>Mechanical Engineering</v>
      </c>
      <c r="D7" s="1" t="str">
        <f ca="1">IFERROR(__xludf.DUMMYFUNCTION("""COMPUTED_VALUE"""),"Amanpreet Singh")</f>
        <v>Amanpreet Singh</v>
      </c>
      <c r="E7" s="1" t="str">
        <f ca="1">IFERROR(__xludf.DUMMYFUNCTION("""COMPUTED_VALUE"""),"Sr. Lecturer")</f>
        <v>Sr. Lecturer</v>
      </c>
      <c r="F7" s="1" t="str">
        <f ca="1">IFERROR(__xludf.DUMMYFUNCTION("""COMPUTED_VALUE"""),"amanpreetsingh062@gmail.com ")</f>
        <v xml:space="preserve">amanpreetsingh062@gmail.com </v>
      </c>
      <c r="G7" s="1">
        <f ca="1">IFERROR(__xludf.DUMMYFUNCTION("""COMPUTED_VALUE"""),8283831045)</f>
        <v>8283831045</v>
      </c>
    </row>
    <row r="8" spans="1:7" x14ac:dyDescent="0.3">
      <c r="A8" s="1" t="str">
        <f ca="1">IFERROR(__xludf.DUMMYFUNCTION("""COMPUTED_VALUE"""),"Government Polytechnic College, Amritsar")</f>
        <v>Government Polytechnic College, Amritsar</v>
      </c>
      <c r="B8" s="1" t="str">
        <f ca="1">IFERROR(__xludf.DUMMYFUNCTION("""COMPUTED_VALUE"""),"Amritsar")</f>
        <v>Amritsar</v>
      </c>
      <c r="C8" s="1" t="str">
        <f ca="1">IFERROR(__xludf.DUMMYFUNCTION("""COMPUTED_VALUE"""),"Workshop")</f>
        <v>Workshop</v>
      </c>
      <c r="D8" s="1" t="str">
        <f ca="1">IFERROR(__xludf.DUMMYFUNCTION("""COMPUTED_VALUE"""),"Avtar Singh")</f>
        <v>Avtar Singh</v>
      </c>
      <c r="E8" s="1" t="str">
        <f ca="1">IFERROR(__xludf.DUMMYFUNCTION("""COMPUTED_VALUE"""),"Foreman Instructor")</f>
        <v>Foreman Instructor</v>
      </c>
      <c r="F8" s="1" t="str">
        <f ca="1">IFERROR(__xludf.DUMMYFUNCTION("""COMPUTED_VALUE"""),"singhavtarsingh094@gmail.com")</f>
        <v>singhavtarsingh094@gmail.com</v>
      </c>
      <c r="G8" s="1">
        <f ca="1">IFERROR(__xludf.DUMMYFUNCTION("""COMPUTED_VALUE"""),9501118315)</f>
        <v>9501118315</v>
      </c>
    </row>
    <row r="9" spans="1:7" x14ac:dyDescent="0.3">
      <c r="A9" s="1" t="str">
        <f ca="1">IFERROR(__xludf.DUMMYFUNCTION("""COMPUTED_VALUE"""),"Government Polytechnic College, Amritsar")</f>
        <v>Government Polytechnic College, Amritsar</v>
      </c>
      <c r="B9" s="1" t="str">
        <f ca="1">IFERROR(__xludf.DUMMYFUNCTION("""COMPUTED_VALUE"""),"Amritsar")</f>
        <v>Amritsar</v>
      </c>
      <c r="C9" s="1" t="str">
        <f ca="1">IFERROR(__xludf.DUMMYFUNCTION("""COMPUTED_VALUE"""),"Workshop")</f>
        <v>Workshop</v>
      </c>
      <c r="D9" s="1" t="str">
        <f ca="1">IFERROR(__xludf.DUMMYFUNCTION("""COMPUTED_VALUE"""),"Bant Ram")</f>
        <v>Bant Ram</v>
      </c>
      <c r="E9" s="1" t="str">
        <f ca="1">IFERROR(__xludf.DUMMYFUNCTION("""COMPUTED_VALUE"""),"Foreman Instructor")</f>
        <v>Foreman Instructor</v>
      </c>
      <c r="F9" s="1" t="str">
        <f ca="1">IFERROR(__xludf.DUMMYFUNCTION("""COMPUTED_VALUE"""),"bantram58@gmail.com")</f>
        <v>bantram58@gmail.com</v>
      </c>
      <c r="G9" s="1">
        <f ca="1">IFERROR(__xludf.DUMMYFUNCTION("""COMPUTED_VALUE"""),9501034058)</f>
        <v>9501034058</v>
      </c>
    </row>
    <row r="10" spans="1:7" x14ac:dyDescent="0.3">
      <c r="A10" s="1" t="str">
        <f ca="1">IFERROR(__xludf.DUMMYFUNCTION("""COMPUTED_VALUE"""),"Government Polytechnic College, Amritsar")</f>
        <v>Government Polytechnic College, Amritsar</v>
      </c>
      <c r="B10" s="1" t="str">
        <f ca="1">IFERROR(__xludf.DUMMYFUNCTION("""COMPUTED_VALUE"""),"Amritsar")</f>
        <v>Amritsar</v>
      </c>
      <c r="C10" s="1" t="str">
        <f ca="1">IFERROR(__xludf.DUMMYFUNCTION("""COMPUTED_VALUE"""),"Workshop")</f>
        <v>Workshop</v>
      </c>
      <c r="D10" s="1" t="str">
        <f ca="1">IFERROR(__xludf.DUMMYFUNCTION("""COMPUTED_VALUE"""),"Dilbag Singh")</f>
        <v>Dilbag Singh</v>
      </c>
      <c r="E10" s="1" t="str">
        <f ca="1">IFERROR(__xludf.DUMMYFUNCTION("""COMPUTED_VALUE"""),"Foreman Instructor")</f>
        <v>Foreman Instructor</v>
      </c>
      <c r="F10" s="1" t="str">
        <f ca="1">IFERROR(__xludf.DUMMYFUNCTION("""COMPUTED_VALUE"""),"dilbagsingh495@gmail.com")</f>
        <v>dilbagsingh495@gmail.com</v>
      </c>
      <c r="G10" s="1">
        <f ca="1">IFERROR(__xludf.DUMMYFUNCTION("""COMPUTED_VALUE"""),9988993136)</f>
        <v>9988993136</v>
      </c>
    </row>
    <row r="11" spans="1:7" x14ac:dyDescent="0.3">
      <c r="A11" s="1" t="str">
        <f ca="1">IFERROR(__xludf.DUMMYFUNCTION("""COMPUTED_VALUE"""),"Government Polytechnic College, Amritsar")</f>
        <v>Government Polytechnic College, Amritsar</v>
      </c>
      <c r="B11" s="1" t="str">
        <f ca="1">IFERROR(__xludf.DUMMYFUNCTION("""COMPUTED_VALUE"""),"Amritsar")</f>
        <v>Amritsar</v>
      </c>
      <c r="C11" s="1" t="str">
        <f ca="1">IFERROR(__xludf.DUMMYFUNCTION("""COMPUTED_VALUE"""),"Civil Engineering")</f>
        <v>Civil Engineering</v>
      </c>
      <c r="D11" s="1" t="str">
        <f ca="1">IFERROR(__xludf.DUMMYFUNCTION("""COMPUTED_VALUE"""),"Dr Raghubir Singh")</f>
        <v>Dr Raghubir Singh</v>
      </c>
      <c r="E11" s="1" t="str">
        <f ca="1">IFERROR(__xludf.DUMMYFUNCTION("""COMPUTED_VALUE"""),"Sr. Lecturer")</f>
        <v>Sr. Lecturer</v>
      </c>
      <c r="F11" s="1" t="str">
        <f ca="1">IFERROR(__xludf.DUMMYFUNCTION("""COMPUTED_VALUE"""),"ragswaheguru@gmail.com")</f>
        <v>ragswaheguru@gmail.com</v>
      </c>
      <c r="G11" s="1">
        <f ca="1">IFERROR(__xludf.DUMMYFUNCTION("""COMPUTED_VALUE"""),9501547500)</f>
        <v>9501547500</v>
      </c>
    </row>
    <row r="12" spans="1:7" x14ac:dyDescent="0.3">
      <c r="A12" s="1" t="str">
        <f ca="1">IFERROR(__xludf.DUMMYFUNCTION("""COMPUTED_VALUE"""),"Government Polytechnic College, Amritsar")</f>
        <v>Government Polytechnic College, Amritsar</v>
      </c>
      <c r="B12" s="1" t="str">
        <f ca="1">IFERROR(__xludf.DUMMYFUNCTION("""COMPUTED_VALUE"""),"Amritsar")</f>
        <v>Amritsar</v>
      </c>
      <c r="C12" s="1" t="str">
        <f ca="1">IFERROR(__xludf.DUMMYFUNCTION("""COMPUTED_VALUE"""),"Pharmacy")</f>
        <v>Pharmacy</v>
      </c>
      <c r="D12" s="1" t="str">
        <f ca="1">IFERROR(__xludf.DUMMYFUNCTION("""COMPUTED_VALUE"""),"Dr. Harjeet Singh")</f>
        <v>Dr. Harjeet Singh</v>
      </c>
      <c r="E12" s="1" t="str">
        <f ca="1">IFERROR(__xludf.DUMMYFUNCTION("""COMPUTED_VALUE"""),"Lecturer")</f>
        <v>Lecturer</v>
      </c>
      <c r="F12" s="1" t="str">
        <f ca="1">IFERROR(__xludf.DUMMYFUNCTION("""COMPUTED_VALUE"""),"harjeetpharma1@gmail.com")</f>
        <v>harjeetpharma1@gmail.com</v>
      </c>
      <c r="G12" s="1">
        <f ca="1">IFERROR(__xludf.DUMMYFUNCTION("""COMPUTED_VALUE"""),9988279268)</f>
        <v>9988279268</v>
      </c>
    </row>
    <row r="13" spans="1:7" x14ac:dyDescent="0.3">
      <c r="A13" s="1" t="str">
        <f ca="1">IFERROR(__xludf.DUMMYFUNCTION("""COMPUTED_VALUE"""),"Government Polytechnic College, Amritsar")</f>
        <v>Government Polytechnic College, Amritsar</v>
      </c>
      <c r="B13" s="1" t="str">
        <f ca="1">IFERROR(__xludf.DUMMYFUNCTION("""COMPUTED_VALUE"""),"Amritsar")</f>
        <v>Amritsar</v>
      </c>
      <c r="C13" s="1" t="str">
        <f ca="1">IFERROR(__xludf.DUMMYFUNCTION("""COMPUTED_VALUE"""),"Pharmacy")</f>
        <v>Pharmacy</v>
      </c>
      <c r="D13" s="1" t="str">
        <f ca="1">IFERROR(__xludf.DUMMYFUNCTION("""COMPUTED_VALUE"""),"Dr. Shelly Khurana")</f>
        <v>Dr. Shelly Khurana</v>
      </c>
      <c r="E13" s="1" t="str">
        <f ca="1">IFERROR(__xludf.DUMMYFUNCTION("""COMPUTED_VALUE"""),"Sr. Lecturer")</f>
        <v>Sr. Lecturer</v>
      </c>
      <c r="F13" s="1" t="str">
        <f ca="1">IFERROR(__xludf.DUMMYFUNCTION("""COMPUTED_VALUE"""),"shellykhurana74@gmail.com")</f>
        <v>shellykhurana74@gmail.com</v>
      </c>
      <c r="G13" s="1">
        <f ca="1">IFERROR(__xludf.DUMMYFUNCTION("""COMPUTED_VALUE"""),8283819114)</f>
        <v>8283819114</v>
      </c>
    </row>
    <row r="14" spans="1:7" x14ac:dyDescent="0.3">
      <c r="A14" s="1" t="str">
        <f ca="1">IFERROR(__xludf.DUMMYFUNCTION("""COMPUTED_VALUE"""),"Government Polytechnic College, Amritsar")</f>
        <v>Government Polytechnic College, Amritsar</v>
      </c>
      <c r="B14" s="1" t="str">
        <f ca="1">IFERROR(__xludf.DUMMYFUNCTION("""COMPUTED_VALUE"""),"Amritsar")</f>
        <v>Amritsar</v>
      </c>
      <c r="C14" s="1" t="str">
        <f ca="1">IFERROR(__xludf.DUMMYFUNCTION("""COMPUTED_VALUE"""),"Mechanical Engineering")</f>
        <v>Mechanical Engineering</v>
      </c>
      <c r="D14" s="1" t="str">
        <f ca="1">IFERROR(__xludf.DUMMYFUNCTION("""COMPUTED_VALUE"""),"Gagandeep singh")</f>
        <v>Gagandeep singh</v>
      </c>
      <c r="E14" s="1" t="str">
        <f ca="1">IFERROR(__xludf.DUMMYFUNCTION("""COMPUTED_VALUE"""),"Lecturer")</f>
        <v>Lecturer</v>
      </c>
      <c r="F14" s="1" t="str">
        <f ca="1">IFERROR(__xludf.DUMMYFUNCTION("""COMPUTED_VALUE"""),"royal.kang102@gmail.com")</f>
        <v>royal.kang102@gmail.com</v>
      </c>
      <c r="G14" s="1">
        <f ca="1">IFERROR(__xludf.DUMMYFUNCTION("""COMPUTED_VALUE"""),7888469463)</f>
        <v>7888469463</v>
      </c>
    </row>
    <row r="15" spans="1:7" x14ac:dyDescent="0.3">
      <c r="A15" s="1" t="str">
        <f ca="1">IFERROR(__xludf.DUMMYFUNCTION("""COMPUTED_VALUE"""),"Government Polytechnic College, Amritsar")</f>
        <v>Government Polytechnic College, Amritsar</v>
      </c>
      <c r="B15" s="1" t="str">
        <f ca="1">IFERROR(__xludf.DUMMYFUNCTION("""COMPUTED_VALUE"""),"Amritsar")</f>
        <v>Amritsar</v>
      </c>
      <c r="C15" s="1" t="str">
        <f ca="1">IFERROR(__xludf.DUMMYFUNCTION("""COMPUTED_VALUE"""),"Information Technology")</f>
        <v>Information Technology</v>
      </c>
      <c r="D15" s="1" t="str">
        <f ca="1">IFERROR(__xludf.DUMMYFUNCTION("""COMPUTED_VALUE"""),"Gurmukh Singh")</f>
        <v>Gurmukh Singh</v>
      </c>
      <c r="E15" s="1" t="str">
        <f ca="1">IFERROR(__xludf.DUMMYFUNCTION("""COMPUTED_VALUE"""),"Lecturer")</f>
        <v>Lecturer</v>
      </c>
      <c r="F15" s="1" t="str">
        <f ca="1">IFERROR(__xludf.DUMMYFUNCTION("""COMPUTED_VALUE"""),"gurmukh86@gmail.com")</f>
        <v>gurmukh86@gmail.com</v>
      </c>
      <c r="G15" s="1">
        <f ca="1">IFERROR(__xludf.DUMMYFUNCTION("""COMPUTED_VALUE"""),9988114567)</f>
        <v>9988114567</v>
      </c>
    </row>
    <row r="16" spans="1:7" x14ac:dyDescent="0.3">
      <c r="A16" s="1" t="str">
        <f ca="1">IFERROR(__xludf.DUMMYFUNCTION("""COMPUTED_VALUE"""),"Government Polytechnic College, Amritsar")</f>
        <v>Government Polytechnic College, Amritsar</v>
      </c>
      <c r="B16" s="1" t="str">
        <f ca="1">IFERROR(__xludf.DUMMYFUNCTION("""COMPUTED_VALUE"""),"Amritsar")</f>
        <v>Amritsar</v>
      </c>
      <c r="C16" s="1" t="str">
        <f ca="1">IFERROR(__xludf.DUMMYFUNCTION("""COMPUTED_VALUE"""),"Pharmacy")</f>
        <v>Pharmacy</v>
      </c>
      <c r="D16" s="1" t="str">
        <f ca="1">IFERROR(__xludf.DUMMYFUNCTION("""COMPUTED_VALUE"""),"Harinder Kaur")</f>
        <v>Harinder Kaur</v>
      </c>
      <c r="E16" s="1" t="str">
        <f ca="1">IFERROR(__xludf.DUMMYFUNCTION("""COMPUTED_VALUE"""),"Lecturer")</f>
        <v>Lecturer</v>
      </c>
      <c r="F16" s="1" t="str">
        <f ca="1">IFERROR(__xludf.DUMMYFUNCTION("""COMPUTED_VALUE"""),"pannuharinder219@gmail.com")</f>
        <v>pannuharinder219@gmail.com</v>
      </c>
      <c r="G16" s="1">
        <f ca="1">IFERROR(__xludf.DUMMYFUNCTION("""COMPUTED_VALUE"""),6280877793)</f>
        <v>6280877793</v>
      </c>
    </row>
    <row r="17" spans="1:7" x14ac:dyDescent="0.3">
      <c r="A17" s="1" t="str">
        <f ca="1">IFERROR(__xludf.DUMMYFUNCTION("""COMPUTED_VALUE"""),"Government Polytechnic College, Amritsar")</f>
        <v>Government Polytechnic College, Amritsar</v>
      </c>
      <c r="B17" s="1" t="str">
        <f ca="1">IFERROR(__xludf.DUMMYFUNCTION("""COMPUTED_VALUE"""),"Amritsar")</f>
        <v>Amritsar</v>
      </c>
      <c r="C17" s="1" t="str">
        <f ca="1">IFERROR(__xludf.DUMMYFUNCTION("""COMPUTED_VALUE"""),"Applied Science")</f>
        <v>Applied Science</v>
      </c>
      <c r="D17" s="1" t="str">
        <f ca="1">IFERROR(__xludf.DUMMYFUNCTION("""COMPUTED_VALUE"""),"Harpreet Kaur")</f>
        <v>Harpreet Kaur</v>
      </c>
      <c r="E17" s="1" t="str">
        <f ca="1">IFERROR(__xludf.DUMMYFUNCTION("""COMPUTED_VALUE"""),"Lecturer")</f>
        <v>Lecturer</v>
      </c>
      <c r="F17" s="1" t="str">
        <f ca="1">IFERROR(__xludf.DUMMYFUNCTION("""COMPUTED_VALUE"""),"harpreet18kaur@yahoo.co.in")</f>
        <v>harpreet18kaur@yahoo.co.in</v>
      </c>
      <c r="G17" s="1">
        <f ca="1">IFERROR(__xludf.DUMMYFUNCTION("""COMPUTED_VALUE"""),8872221103)</f>
        <v>8872221103</v>
      </c>
    </row>
    <row r="18" spans="1:7" x14ac:dyDescent="0.3">
      <c r="A18" s="1" t="str">
        <f ca="1">IFERROR(__xludf.DUMMYFUNCTION("""COMPUTED_VALUE"""),"Government Polytechnic College, Amritsar")</f>
        <v>Government Polytechnic College, Amritsar</v>
      </c>
      <c r="B18" s="1" t="str">
        <f ca="1">IFERROR(__xludf.DUMMYFUNCTION("""COMPUTED_VALUE"""),"Amritsar")</f>
        <v>Amritsar</v>
      </c>
      <c r="C18" s="1" t="str">
        <f ca="1">IFERROR(__xludf.DUMMYFUNCTION("""COMPUTED_VALUE"""),"Mechanical Engineering")</f>
        <v>Mechanical Engineering</v>
      </c>
      <c r="D18" s="1" t="str">
        <f ca="1">IFERROR(__xludf.DUMMYFUNCTION("""COMPUTED_VALUE"""),"Harvinder Singh")</f>
        <v>Harvinder Singh</v>
      </c>
      <c r="E18" s="1" t="str">
        <f ca="1">IFERROR(__xludf.DUMMYFUNCTION("""COMPUTED_VALUE"""),"HOD")</f>
        <v>HOD</v>
      </c>
      <c r="F18" s="1" t="str">
        <f ca="1">IFERROR(__xludf.DUMMYFUNCTION("""COMPUTED_VALUE"""),"harvinderpolytechnic@gmail.com")</f>
        <v>harvinderpolytechnic@gmail.com</v>
      </c>
      <c r="G18" s="1">
        <f ca="1">IFERROR(__xludf.DUMMYFUNCTION("""COMPUTED_VALUE"""),9915188448)</f>
        <v>9915188448</v>
      </c>
    </row>
    <row r="19" spans="1:7" x14ac:dyDescent="0.3">
      <c r="A19" s="1" t="str">
        <f ca="1">IFERROR(__xludf.DUMMYFUNCTION("""COMPUTED_VALUE"""),"Government Polytechnic College, Amritsar")</f>
        <v>Government Polytechnic College, Amritsar</v>
      </c>
      <c r="B19" s="1" t="str">
        <f ca="1">IFERROR(__xludf.DUMMYFUNCTION("""COMPUTED_VALUE"""),"Amritsar")</f>
        <v>Amritsar</v>
      </c>
      <c r="C19" s="1" t="str">
        <f ca="1">IFERROR(__xludf.DUMMYFUNCTION("""COMPUTED_VALUE"""),"Applied Science")</f>
        <v>Applied Science</v>
      </c>
      <c r="D19" s="1" t="str">
        <f ca="1">IFERROR(__xludf.DUMMYFUNCTION("""COMPUTED_VALUE"""),"Jasmeet Kaur")</f>
        <v>Jasmeet Kaur</v>
      </c>
      <c r="E19" s="1" t="str">
        <f ca="1">IFERROR(__xludf.DUMMYFUNCTION("""COMPUTED_VALUE"""),"Sr. Lecturer")</f>
        <v>Sr. Lecturer</v>
      </c>
      <c r="F19" s="1" t="str">
        <f ca="1">IFERROR(__xludf.DUMMYFUNCTION("""COMPUTED_VALUE"""),"kjasmeet1968@gmail.com")</f>
        <v>kjasmeet1968@gmail.com</v>
      </c>
      <c r="G19" s="1">
        <f ca="1">IFERROR(__xludf.DUMMYFUNCTION("""COMPUTED_VALUE"""),9501105530)</f>
        <v>9501105530</v>
      </c>
    </row>
    <row r="20" spans="1:7" x14ac:dyDescent="0.3">
      <c r="A20" s="1" t="str">
        <f ca="1">IFERROR(__xludf.DUMMYFUNCTION("""COMPUTED_VALUE"""),"Government Polytechnic College, Amritsar")</f>
        <v>Government Polytechnic College, Amritsar</v>
      </c>
      <c r="B20" s="1" t="str">
        <f ca="1">IFERROR(__xludf.DUMMYFUNCTION("""COMPUTED_VALUE"""),"Amritsar")</f>
        <v>Amritsar</v>
      </c>
      <c r="C20" s="1" t="str">
        <f ca="1">IFERROR(__xludf.DUMMYFUNCTION("""COMPUTED_VALUE"""),"Mechanical Engineering(Production)")</f>
        <v>Mechanical Engineering(Production)</v>
      </c>
      <c r="D20" s="1" t="str">
        <f ca="1">IFERROR(__xludf.DUMMYFUNCTION("""COMPUTED_VALUE"""),"Kashmiri Lal")</f>
        <v>Kashmiri Lal</v>
      </c>
      <c r="E20" s="1" t="str">
        <f ca="1">IFERROR(__xludf.DUMMYFUNCTION("""COMPUTED_VALUE"""),"HOD")</f>
        <v>HOD</v>
      </c>
      <c r="F20" s="1" t="str">
        <f ca="1">IFERROR(__xludf.DUMMYFUNCTION("""COMPUTED_VALUE"""),"kljassi16@gmail.com")</f>
        <v>kljassi16@gmail.com</v>
      </c>
      <c r="G20" s="1">
        <f ca="1">IFERROR(__xludf.DUMMYFUNCTION("""COMPUTED_VALUE"""),9814029961)</f>
        <v>9814029961</v>
      </c>
    </row>
    <row r="21" spans="1:7" x14ac:dyDescent="0.3">
      <c r="A21" s="1" t="str">
        <f ca="1">IFERROR(__xludf.DUMMYFUNCTION("""COMPUTED_VALUE"""),"Government Polytechnic College, Amritsar")</f>
        <v>Government Polytechnic College, Amritsar</v>
      </c>
      <c r="B21" s="1" t="str">
        <f ca="1">IFERROR(__xludf.DUMMYFUNCTION("""COMPUTED_VALUE"""),"Amritsar")</f>
        <v>Amritsar</v>
      </c>
      <c r="C21" s="1" t="str">
        <f ca="1">IFERROR(__xludf.DUMMYFUNCTION("""COMPUTED_VALUE"""),"Electrical Engineering")</f>
        <v>Electrical Engineering</v>
      </c>
      <c r="D21" s="1" t="str">
        <f ca="1">IFERROR(__xludf.DUMMYFUNCTION("""COMPUTED_VALUE"""),"Mandeep Boora")</f>
        <v>Mandeep Boora</v>
      </c>
      <c r="E21" s="1" t="str">
        <f ca="1">IFERROR(__xludf.DUMMYFUNCTION("""COMPUTED_VALUE"""),"Lecturer")</f>
        <v>Lecturer</v>
      </c>
      <c r="F21" s="1" t="str">
        <f ca="1">IFERROR(__xludf.DUMMYFUNCTION("""COMPUTED_VALUE"""),"mboora78@gmail.com")</f>
        <v>mboora78@gmail.com</v>
      </c>
      <c r="G21" s="1">
        <f ca="1">IFERROR(__xludf.DUMMYFUNCTION("""COMPUTED_VALUE"""),8076112209)</f>
        <v>8076112209</v>
      </c>
    </row>
    <row r="22" spans="1:7" x14ac:dyDescent="0.3">
      <c r="A22" s="1" t="str">
        <f ca="1">IFERROR(__xludf.DUMMYFUNCTION("""COMPUTED_VALUE"""),"Government Polytechnic College, Amritsar")</f>
        <v>Government Polytechnic College, Amritsar</v>
      </c>
      <c r="B22" s="1" t="str">
        <f ca="1">IFERROR(__xludf.DUMMYFUNCTION("""COMPUTED_VALUE"""),"Amritsar")</f>
        <v>Amritsar</v>
      </c>
      <c r="C22" s="1" t="str">
        <f ca="1">IFERROR(__xludf.DUMMYFUNCTION("""COMPUTED_VALUE"""),"Pharmacy")</f>
        <v>Pharmacy</v>
      </c>
      <c r="D22" s="1" t="str">
        <f ca="1">IFERROR(__xludf.DUMMYFUNCTION("""COMPUTED_VALUE"""),"Manjinder Singh")</f>
        <v>Manjinder Singh</v>
      </c>
      <c r="E22" s="1" t="str">
        <f ca="1">IFERROR(__xludf.DUMMYFUNCTION("""COMPUTED_VALUE"""),"Lecturer")</f>
        <v>Lecturer</v>
      </c>
      <c r="F22" s="1" t="str">
        <f ca="1">IFERROR(__xludf.DUMMYFUNCTION("""COMPUTED_VALUE"""),"mgillsingh1@gmail.com")</f>
        <v>mgillsingh1@gmail.com</v>
      </c>
      <c r="G22" s="1">
        <f ca="1">IFERROR(__xludf.DUMMYFUNCTION("""COMPUTED_VALUE"""),9781008485)</f>
        <v>9781008485</v>
      </c>
    </row>
    <row r="23" spans="1:7" x14ac:dyDescent="0.3">
      <c r="A23" s="1" t="str">
        <f ca="1">IFERROR(__xludf.DUMMYFUNCTION("""COMPUTED_VALUE"""),"Government Polytechnic College, Amritsar")</f>
        <v>Government Polytechnic College, Amritsar</v>
      </c>
      <c r="B23" s="1" t="str">
        <f ca="1">IFERROR(__xludf.DUMMYFUNCTION("""COMPUTED_VALUE"""),"Amritsar")</f>
        <v>Amritsar</v>
      </c>
      <c r="C23" s="1" t="str">
        <f ca="1">IFERROR(__xludf.DUMMYFUNCTION("""COMPUTED_VALUE"""),"Electrical Engineering")</f>
        <v>Electrical Engineering</v>
      </c>
      <c r="D23" s="1" t="str">
        <f ca="1">IFERROR(__xludf.DUMMYFUNCTION("""COMPUTED_VALUE"""),"Manjot Singh")</f>
        <v>Manjot Singh</v>
      </c>
      <c r="E23" s="1" t="str">
        <f ca="1">IFERROR(__xludf.DUMMYFUNCTION("""COMPUTED_VALUE"""),"Lecturer")</f>
        <v>Lecturer</v>
      </c>
      <c r="F23" s="1" t="str">
        <f ca="1">IFERROR(__xludf.DUMMYFUNCTION("""COMPUTED_VALUE"""),"ubhi.manjot@gmail.com")</f>
        <v>ubhi.manjot@gmail.com</v>
      </c>
      <c r="G23" s="1">
        <f ca="1">IFERROR(__xludf.DUMMYFUNCTION("""COMPUTED_VALUE"""),9779911350)</f>
        <v>9779911350</v>
      </c>
    </row>
    <row r="24" spans="1:7" x14ac:dyDescent="0.3">
      <c r="A24" s="1" t="str">
        <f ca="1">IFERROR(__xludf.DUMMYFUNCTION("""COMPUTED_VALUE"""),"Government Polytechnic College, Amritsar")</f>
        <v>Government Polytechnic College, Amritsar</v>
      </c>
      <c r="B24" s="1" t="str">
        <f ca="1">IFERROR(__xludf.DUMMYFUNCTION("""COMPUTED_VALUE"""),"Amritsar")</f>
        <v>Amritsar</v>
      </c>
      <c r="C24" s="1" t="str">
        <f ca="1">IFERROR(__xludf.DUMMYFUNCTION("""COMPUTED_VALUE"""),"Computer Science and Engineering")</f>
        <v>Computer Science and Engineering</v>
      </c>
      <c r="D24" s="1" t="str">
        <f ca="1">IFERROR(__xludf.DUMMYFUNCTION("""COMPUTED_VALUE"""),"Mr. Harpreet Singh Soch")</f>
        <v>Mr. Harpreet Singh Soch</v>
      </c>
      <c r="E24" s="1" t="str">
        <f ca="1">IFERROR(__xludf.DUMMYFUNCTION("""COMPUTED_VALUE"""),"HOD")</f>
        <v>HOD</v>
      </c>
      <c r="F24" s="1" t="str">
        <f ca="1">IFERROR(__xludf.DUMMYFUNCTION("""COMPUTED_VALUE"""),"sochharbhajan@gmail.com")</f>
        <v>sochharbhajan@gmail.com</v>
      </c>
      <c r="G24" s="1">
        <f ca="1">IFERROR(__xludf.DUMMYFUNCTION("""COMPUTED_VALUE"""),9872403040)</f>
        <v>9872403040</v>
      </c>
    </row>
    <row r="25" spans="1:7" x14ac:dyDescent="0.3">
      <c r="A25" s="1" t="str">
        <f ca="1">IFERROR(__xludf.DUMMYFUNCTION("""COMPUTED_VALUE"""),"Government Polytechnic College, Amritsar")</f>
        <v>Government Polytechnic College, Amritsar</v>
      </c>
      <c r="B25" s="1" t="str">
        <f ca="1">IFERROR(__xludf.DUMMYFUNCTION("""COMPUTED_VALUE"""),"Amritsar")</f>
        <v>Amritsar</v>
      </c>
      <c r="C25" s="1" t="str">
        <f ca="1">IFERROR(__xludf.DUMMYFUNCTION("""COMPUTED_VALUE"""),"Computer Science and Engineering")</f>
        <v>Computer Science and Engineering</v>
      </c>
      <c r="D25" s="1" t="str">
        <f ca="1">IFERROR(__xludf.DUMMYFUNCTION("""COMPUTED_VALUE"""),"Mr Sandeep Singh")</f>
        <v>Mr Sandeep Singh</v>
      </c>
      <c r="E25" s="1" t="str">
        <f ca="1">IFERROR(__xludf.DUMMYFUNCTION("""COMPUTED_VALUE"""),"Lecturer")</f>
        <v>Lecturer</v>
      </c>
      <c r="F25" s="1" t="str">
        <f ca="1">IFERROR(__xludf.DUMMYFUNCTION("""COMPUTED_VALUE"""),"sundeep.bhatti@gmail.com")</f>
        <v>sundeep.bhatti@gmail.com</v>
      </c>
      <c r="G25" s="1">
        <f ca="1">IFERROR(__xludf.DUMMYFUNCTION("""COMPUTED_VALUE"""),9878012387)</f>
        <v>9878012387</v>
      </c>
    </row>
    <row r="26" spans="1:7" x14ac:dyDescent="0.3">
      <c r="A26" s="1" t="str">
        <f ca="1">IFERROR(__xludf.DUMMYFUNCTION("""COMPUTED_VALUE"""),"Government Polytechnic College, Amritsar")</f>
        <v>Government Polytechnic College, Amritsar</v>
      </c>
      <c r="B26" s="1" t="str">
        <f ca="1">IFERROR(__xludf.DUMMYFUNCTION("""COMPUTED_VALUE"""),"Amritsar")</f>
        <v>Amritsar</v>
      </c>
      <c r="C26" s="1" t="str">
        <f ca="1">IFERROR(__xludf.DUMMYFUNCTION("""COMPUTED_VALUE"""),"Computer Science and Engineering")</f>
        <v>Computer Science and Engineering</v>
      </c>
      <c r="D26" s="1" t="str">
        <f ca="1">IFERROR(__xludf.DUMMYFUNCTION("""COMPUTED_VALUE"""),"Mrs Prabhjit Kaur")</f>
        <v>Mrs Prabhjit Kaur</v>
      </c>
      <c r="E26" s="1" t="str">
        <f ca="1">IFERROR(__xludf.DUMMYFUNCTION("""COMPUTED_VALUE"""),"Sr. Lecturer")</f>
        <v>Sr. Lecturer</v>
      </c>
      <c r="F26" s="1" t="str">
        <f ca="1">IFERROR(__xludf.DUMMYFUNCTION("""COMPUTED_VALUE"""),"Prabhjitabu@gmail.com")</f>
        <v>Prabhjitabu@gmail.com</v>
      </c>
      <c r="G26" s="1">
        <f ca="1">IFERROR(__xludf.DUMMYFUNCTION("""COMPUTED_VALUE"""),9501014500)</f>
        <v>9501014500</v>
      </c>
    </row>
    <row r="27" spans="1:7" x14ac:dyDescent="0.3">
      <c r="A27" s="1" t="str">
        <f ca="1">IFERROR(__xludf.DUMMYFUNCTION("""COMPUTED_VALUE"""),"Government Polytechnic College, Amritsar")</f>
        <v>Government Polytechnic College, Amritsar</v>
      </c>
      <c r="B27" s="1" t="str">
        <f ca="1">IFERROR(__xludf.DUMMYFUNCTION("""COMPUTED_VALUE"""),"Amritsar")</f>
        <v>Amritsar</v>
      </c>
      <c r="C27" s="1" t="str">
        <f ca="1">IFERROR(__xludf.DUMMYFUNCTION("""COMPUTED_VALUE"""),"Mechanical Engineering")</f>
        <v>Mechanical Engineering</v>
      </c>
      <c r="D27" s="1" t="str">
        <f ca="1">IFERROR(__xludf.DUMMYFUNCTION("""COMPUTED_VALUE"""),"Paramjit Singh")</f>
        <v>Paramjit Singh</v>
      </c>
      <c r="E27" s="1" t="str">
        <f ca="1">IFERROR(__xludf.DUMMYFUNCTION("""COMPUTED_VALUE"""),"Lecturer")</f>
        <v>Lecturer</v>
      </c>
      <c r="F27" s="1" t="str">
        <f ca="1">IFERROR(__xludf.DUMMYFUNCTION("""COMPUTED_VALUE"""),"paramjit.acet@gmail.com")</f>
        <v>paramjit.acet@gmail.com</v>
      </c>
      <c r="G27" s="1">
        <f ca="1">IFERROR(__xludf.DUMMYFUNCTION("""COMPUTED_VALUE"""),9888687716)</f>
        <v>9888687716</v>
      </c>
    </row>
    <row r="28" spans="1:7" x14ac:dyDescent="0.3">
      <c r="A28" s="1" t="str">
        <f ca="1">IFERROR(__xludf.DUMMYFUNCTION("""COMPUTED_VALUE"""),"Government Polytechnic College, Amritsar")</f>
        <v>Government Polytechnic College, Amritsar</v>
      </c>
      <c r="B28" s="1" t="str">
        <f ca="1">IFERROR(__xludf.DUMMYFUNCTION("""COMPUTED_VALUE"""),"Amritsar")</f>
        <v>Amritsar</v>
      </c>
      <c r="C28" s="1" t="str">
        <f ca="1">IFERROR(__xludf.DUMMYFUNCTION("""COMPUTED_VALUE"""),"Electrical Engineering")</f>
        <v>Electrical Engineering</v>
      </c>
      <c r="D28" s="1" t="str">
        <f ca="1">IFERROR(__xludf.DUMMYFUNCTION("""COMPUTED_VALUE"""),"Pardeep Dixit")</f>
        <v>Pardeep Dixit</v>
      </c>
      <c r="E28" s="1" t="str">
        <f ca="1">IFERROR(__xludf.DUMMYFUNCTION("""COMPUTED_VALUE"""),"Lecturer")</f>
        <v>Lecturer</v>
      </c>
      <c r="F28" s="1" t="str">
        <f ca="1">IFERROR(__xludf.DUMMYFUNCTION("""COMPUTED_VALUE"""),"pardeepdxt@gmail.com")</f>
        <v>pardeepdxt@gmail.com</v>
      </c>
      <c r="G28" s="1">
        <f ca="1">IFERROR(__xludf.DUMMYFUNCTION("""COMPUTED_VALUE"""),9034308704)</f>
        <v>9034308704</v>
      </c>
    </row>
    <row r="29" spans="1:7" x14ac:dyDescent="0.3">
      <c r="A29" s="1" t="str">
        <f ca="1">IFERROR(__xludf.DUMMYFUNCTION("""COMPUTED_VALUE"""),"Government Polytechnic College, Amritsar")</f>
        <v>Government Polytechnic College, Amritsar</v>
      </c>
      <c r="B29" s="1" t="str">
        <f ca="1">IFERROR(__xludf.DUMMYFUNCTION("""COMPUTED_VALUE"""),"Amritsar")</f>
        <v>Amritsar</v>
      </c>
      <c r="C29" s="1" t="str">
        <f ca="1">IFERROR(__xludf.DUMMYFUNCTION("""COMPUTED_VALUE"""),"Electrical Engineering")</f>
        <v>Electrical Engineering</v>
      </c>
      <c r="D29" s="1" t="str">
        <f ca="1">IFERROR(__xludf.DUMMYFUNCTION("""COMPUTED_VALUE"""),"Prabhat Joshi")</f>
        <v>Prabhat Joshi</v>
      </c>
      <c r="E29" s="1" t="str">
        <f ca="1">IFERROR(__xludf.DUMMYFUNCTION("""COMPUTED_VALUE"""),"Sr. Lecturer")</f>
        <v>Sr. Lecturer</v>
      </c>
      <c r="F29" s="1" t="str">
        <f ca="1">IFERROR(__xludf.DUMMYFUNCTION("""COMPUTED_VALUE"""),"prabhatjoshi32@gmail.com")</f>
        <v>prabhatjoshi32@gmail.com</v>
      </c>
      <c r="G29" s="1">
        <f ca="1">IFERROR(__xludf.DUMMYFUNCTION("""COMPUTED_VALUE"""),8146559416)</f>
        <v>8146559416</v>
      </c>
    </row>
    <row r="30" spans="1:7" x14ac:dyDescent="0.3">
      <c r="A30" s="1" t="str">
        <f ca="1">IFERROR(__xludf.DUMMYFUNCTION("""COMPUTED_VALUE"""),"Government Polytechnic College, Amritsar")</f>
        <v>Government Polytechnic College, Amritsar</v>
      </c>
      <c r="B30" s="1" t="str">
        <f ca="1">IFERROR(__xludf.DUMMYFUNCTION("""COMPUTED_VALUE"""),"Amritsar")</f>
        <v>Amritsar</v>
      </c>
      <c r="C30" s="1" t="str">
        <f ca="1">IFERROR(__xludf.DUMMYFUNCTION("""COMPUTED_VALUE"""),"Applied Science")</f>
        <v>Applied Science</v>
      </c>
      <c r="D30" s="1" t="str">
        <f ca="1">IFERROR(__xludf.DUMMYFUNCTION("""COMPUTED_VALUE"""),"Preet Shikha")</f>
        <v>Preet Shikha</v>
      </c>
      <c r="E30" s="1" t="str">
        <f ca="1">IFERROR(__xludf.DUMMYFUNCTION("""COMPUTED_VALUE"""),"Lecturer")</f>
        <v>Lecturer</v>
      </c>
      <c r="F30" s="1" t="str">
        <f ca="1">IFERROR(__xludf.DUMMYFUNCTION("""COMPUTED_VALUE"""),"shikha.preet2011@gmail.com")</f>
        <v>shikha.preet2011@gmail.com</v>
      </c>
      <c r="G30" s="1">
        <f ca="1">IFERROR(__xludf.DUMMYFUNCTION("""COMPUTED_VALUE"""),9569374325)</f>
        <v>9569374325</v>
      </c>
    </row>
    <row r="31" spans="1:7" x14ac:dyDescent="0.3">
      <c r="A31" s="1" t="str">
        <f ca="1">IFERROR(__xludf.DUMMYFUNCTION("""COMPUTED_VALUE"""),"Government Polytechnic College, Amritsar")</f>
        <v>Government Polytechnic College, Amritsar</v>
      </c>
      <c r="B31" s="1" t="str">
        <f ca="1">IFERROR(__xludf.DUMMYFUNCTION("""COMPUTED_VALUE"""),"Amritsar")</f>
        <v>Amritsar</v>
      </c>
      <c r="C31" s="1" t="str">
        <f ca="1">IFERROR(__xludf.DUMMYFUNCTION("""COMPUTED_VALUE"""),"Applied Science")</f>
        <v>Applied Science</v>
      </c>
      <c r="D31" s="1" t="str">
        <f ca="1">IFERROR(__xludf.DUMMYFUNCTION("""COMPUTED_VALUE"""),"Dr. Rakesh Kumar")</f>
        <v>Dr. Rakesh Kumar</v>
      </c>
      <c r="E31" s="1" t="str">
        <f ca="1">IFERROR(__xludf.DUMMYFUNCTION("""COMPUTED_VALUE"""),"Lecturer")</f>
        <v>Lecturer</v>
      </c>
      <c r="F31" s="1" t="str">
        <f ca="1">IFERROR(__xludf.DUMMYFUNCTION("""COMPUTED_VALUE"""),"rakeshmathsphd@gmail.com")</f>
        <v>rakeshmathsphd@gmail.com</v>
      </c>
      <c r="G31" s="1">
        <f ca="1">IFERROR(__xludf.DUMMYFUNCTION("""COMPUTED_VALUE"""),9041645866)</f>
        <v>9041645866</v>
      </c>
    </row>
    <row r="32" spans="1:7" x14ac:dyDescent="0.3">
      <c r="A32" s="1" t="str">
        <f ca="1">IFERROR(__xludf.DUMMYFUNCTION("""COMPUTED_VALUE"""),"Government Polytechnic College, Amritsar")</f>
        <v>Government Polytechnic College, Amritsar</v>
      </c>
      <c r="B32" s="1" t="str">
        <f ca="1">IFERROR(__xludf.DUMMYFUNCTION("""COMPUTED_VALUE"""),"Amritsar")</f>
        <v>Amritsar</v>
      </c>
      <c r="C32" s="1" t="str">
        <f ca="1">IFERROR(__xludf.DUMMYFUNCTION("""COMPUTED_VALUE"""),"Applied Science")</f>
        <v>Applied Science</v>
      </c>
      <c r="D32" s="1" t="str">
        <f ca="1">IFERROR(__xludf.DUMMYFUNCTION("""COMPUTED_VALUE"""),"Rashmi Arora")</f>
        <v>Rashmi Arora</v>
      </c>
      <c r="E32" s="1" t="str">
        <f ca="1">IFERROR(__xludf.DUMMYFUNCTION("""COMPUTED_VALUE"""),"Sr. Lecturer")</f>
        <v>Sr. Lecturer</v>
      </c>
      <c r="F32" s="1" t="str">
        <f ca="1">IFERROR(__xludf.DUMMYFUNCTION("""COMPUTED_VALUE"""),"ramanmaini13@gmail.com")</f>
        <v>ramanmaini13@gmail.com</v>
      </c>
      <c r="G32" s="1">
        <f ca="1">IFERROR(__xludf.DUMMYFUNCTION("""COMPUTED_VALUE"""),9501113468)</f>
        <v>9501113468</v>
      </c>
    </row>
    <row r="33" spans="1:7" x14ac:dyDescent="0.3">
      <c r="A33" s="1" t="str">
        <f ca="1">IFERROR(__xludf.DUMMYFUNCTION("""COMPUTED_VALUE"""),"Government Polytechnic College, Amritsar")</f>
        <v>Government Polytechnic College, Amritsar</v>
      </c>
      <c r="B33" s="1" t="str">
        <f ca="1">IFERROR(__xludf.DUMMYFUNCTION("""COMPUTED_VALUE"""),"Amritsar")</f>
        <v>Amritsar</v>
      </c>
      <c r="C33" s="1" t="str">
        <f ca="1">IFERROR(__xludf.DUMMYFUNCTION("""COMPUTED_VALUE"""),"Applied Science")</f>
        <v>Applied Science</v>
      </c>
      <c r="D33" s="1" t="str">
        <f ca="1">IFERROR(__xludf.DUMMYFUNCTION("""COMPUTED_VALUE"""),"Ravi Chander")</f>
        <v>Ravi Chander</v>
      </c>
      <c r="E33" s="1" t="str">
        <f ca="1">IFERROR(__xludf.DUMMYFUNCTION("""COMPUTED_VALUE"""),"Lecturer")</f>
        <v>Lecturer</v>
      </c>
      <c r="F33" s="1" t="str">
        <f ca="1">IFERROR(__xludf.DUMMYFUNCTION("""COMPUTED_VALUE"""),"rcohri@gmail.com ")</f>
        <v xml:space="preserve">rcohri@gmail.com </v>
      </c>
      <c r="G33" s="1">
        <f ca="1">IFERROR(__xludf.DUMMYFUNCTION("""COMPUTED_VALUE"""),9988993037)</f>
        <v>9988993037</v>
      </c>
    </row>
    <row r="34" spans="1:7" x14ac:dyDescent="0.3">
      <c r="A34" s="1" t="str">
        <f ca="1">IFERROR(__xludf.DUMMYFUNCTION("""COMPUTED_VALUE"""),"Government Polytechnic College, Amritsar")</f>
        <v>Government Polytechnic College, Amritsar</v>
      </c>
      <c r="B34" s="1" t="str">
        <f ca="1">IFERROR(__xludf.DUMMYFUNCTION("""COMPUTED_VALUE"""),"Amritsar")</f>
        <v>Amritsar</v>
      </c>
      <c r="C34" s="1" t="str">
        <f ca="1">IFERROR(__xludf.DUMMYFUNCTION("""COMPUTED_VALUE"""),"Pharmacy")</f>
        <v>Pharmacy</v>
      </c>
      <c r="D34" s="1" t="str">
        <f ca="1">IFERROR(__xludf.DUMMYFUNCTION("""COMPUTED_VALUE"""),"Rimi Chaudhary")</f>
        <v>Rimi Chaudhary</v>
      </c>
      <c r="E34" s="1" t="str">
        <f ca="1">IFERROR(__xludf.DUMMYFUNCTION("""COMPUTED_VALUE"""),"Assistant Prof (Contractual basis)")</f>
        <v>Assistant Prof (Contractual basis)</v>
      </c>
      <c r="F34" s="1" t="str">
        <f ca="1">IFERROR(__xludf.DUMMYFUNCTION("""COMPUTED_VALUE"""),"rimichaudhary2@gmail.com")</f>
        <v>rimichaudhary2@gmail.com</v>
      </c>
      <c r="G34" s="1">
        <f ca="1">IFERROR(__xludf.DUMMYFUNCTION("""COMPUTED_VALUE"""),9464117744)</f>
        <v>9464117744</v>
      </c>
    </row>
    <row r="35" spans="1:7" x14ac:dyDescent="0.3">
      <c r="A35" s="1" t="str">
        <f ca="1">IFERROR(__xludf.DUMMYFUNCTION("""COMPUTED_VALUE"""),"Government Polytechnic College, Amritsar")</f>
        <v>Government Polytechnic College, Amritsar</v>
      </c>
      <c r="B35" s="1" t="str">
        <f ca="1">IFERROR(__xludf.DUMMYFUNCTION("""COMPUTED_VALUE"""),"Amritsar")</f>
        <v>Amritsar</v>
      </c>
      <c r="C35" s="1" t="str">
        <f ca="1">IFERROR(__xludf.DUMMYFUNCTION("""COMPUTED_VALUE"""),"Civil Engineering")</f>
        <v>Civil Engineering</v>
      </c>
      <c r="D35" s="1" t="str">
        <f ca="1">IFERROR(__xludf.DUMMYFUNCTION("""COMPUTED_VALUE"""),"Rohit kumar")</f>
        <v>Rohit kumar</v>
      </c>
      <c r="E35" s="1" t="str">
        <f ca="1">IFERROR(__xludf.DUMMYFUNCTION("""COMPUTED_VALUE"""),"Lecturer")</f>
        <v>Lecturer</v>
      </c>
      <c r="F35" s="1" t="str">
        <f ca="1">IFERROR(__xludf.DUMMYFUNCTION("""COMPUTED_VALUE"""),"Kumarmangluriya@gmail.com")</f>
        <v>Kumarmangluriya@gmail.com</v>
      </c>
      <c r="G35" s="1">
        <f ca="1">IFERROR(__xludf.DUMMYFUNCTION("""COMPUTED_VALUE"""),9803208653)</f>
        <v>9803208653</v>
      </c>
    </row>
    <row r="36" spans="1:7" x14ac:dyDescent="0.3">
      <c r="A36" s="1" t="str">
        <f ca="1">IFERROR(__xludf.DUMMYFUNCTION("""COMPUTED_VALUE"""),"Government Polytechnic College, Amritsar")</f>
        <v>Government Polytechnic College, Amritsar</v>
      </c>
      <c r="B36" s="1" t="str">
        <f ca="1">IFERROR(__xludf.DUMMYFUNCTION("""COMPUTED_VALUE"""),"Amritsar")</f>
        <v>Amritsar</v>
      </c>
      <c r="C36" s="1" t="str">
        <f ca="1">IFERROR(__xludf.DUMMYFUNCTION("""COMPUTED_VALUE"""),"Civil Engineering")</f>
        <v>Civil Engineering</v>
      </c>
      <c r="D36" s="1" t="str">
        <f ca="1">IFERROR(__xludf.DUMMYFUNCTION("""COMPUTED_VALUE"""),"Rupinder Kaur")</f>
        <v>Rupinder Kaur</v>
      </c>
      <c r="E36" s="1" t="str">
        <f ca="1">IFERROR(__xludf.DUMMYFUNCTION("""COMPUTED_VALUE"""),"Lecturer")</f>
        <v>Lecturer</v>
      </c>
      <c r="F36" s="1" t="str">
        <f ca="1">IFERROR(__xludf.DUMMYFUNCTION("""COMPUTED_VALUE"""),"Rkrupinder26@gmail.com")</f>
        <v>Rkrupinder26@gmail.com</v>
      </c>
      <c r="G36" s="1">
        <f ca="1">IFERROR(__xludf.DUMMYFUNCTION("""COMPUTED_VALUE"""),8427063720)</f>
        <v>8427063720</v>
      </c>
    </row>
    <row r="37" spans="1:7" x14ac:dyDescent="0.3">
      <c r="A37" s="1" t="str">
        <f ca="1">IFERROR(__xludf.DUMMYFUNCTION("""COMPUTED_VALUE"""),"Government Polytechnic College, Amritsar")</f>
        <v>Government Polytechnic College, Amritsar</v>
      </c>
      <c r="B37" s="1" t="str">
        <f ca="1">IFERROR(__xludf.DUMMYFUNCTION("""COMPUTED_VALUE"""),"Amritsar")</f>
        <v>Amritsar</v>
      </c>
      <c r="C37" s="1" t="str">
        <f ca="1">IFERROR(__xludf.DUMMYFUNCTION("""COMPUTED_VALUE"""),"Electrical Engineering")</f>
        <v>Electrical Engineering</v>
      </c>
      <c r="D37" s="1" t="str">
        <f ca="1">IFERROR(__xludf.DUMMYFUNCTION("""COMPUTED_VALUE"""),"Sandeep Singh")</f>
        <v>Sandeep Singh</v>
      </c>
      <c r="E37" s="1" t="str">
        <f ca="1">IFERROR(__xludf.DUMMYFUNCTION("""COMPUTED_VALUE"""),"Lecturer")</f>
        <v>Lecturer</v>
      </c>
      <c r="F37" s="1" t="str">
        <f ca="1">IFERROR(__xludf.DUMMYFUNCTION("""COMPUTED_VALUE"""),"Lect.sndp.3004@gmail.com")</f>
        <v>Lect.sndp.3004@gmail.com</v>
      </c>
      <c r="G37" s="1">
        <f ca="1">IFERROR(__xludf.DUMMYFUNCTION("""COMPUTED_VALUE"""),9888913021)</f>
        <v>9888913021</v>
      </c>
    </row>
    <row r="38" spans="1:7" x14ac:dyDescent="0.3">
      <c r="A38" s="1" t="str">
        <f ca="1">IFERROR(__xludf.DUMMYFUNCTION("""COMPUTED_VALUE"""),"Government Polytechnic College, Amritsar")</f>
        <v>Government Polytechnic College, Amritsar</v>
      </c>
      <c r="B38" s="1" t="str">
        <f ca="1">IFERROR(__xludf.DUMMYFUNCTION("""COMPUTED_VALUE"""),"Amritsar")</f>
        <v>Amritsar</v>
      </c>
      <c r="C38" s="1" t="str">
        <f ca="1">IFERROR(__xludf.DUMMYFUNCTION("""COMPUTED_VALUE"""),"Information Technology")</f>
        <v>Information Technology</v>
      </c>
      <c r="D38" s="1" t="str">
        <f ca="1">IFERROR(__xludf.DUMMYFUNCTION("""COMPUTED_VALUE"""),"Sarpreet Kaur")</f>
        <v>Sarpreet Kaur</v>
      </c>
      <c r="E38" s="1" t="str">
        <f ca="1">IFERROR(__xludf.DUMMYFUNCTION("""COMPUTED_VALUE"""),"Lecturer")</f>
        <v>Lecturer</v>
      </c>
      <c r="F38" s="1" t="str">
        <f ca="1">IFERROR(__xludf.DUMMYFUNCTION("""COMPUTED_VALUE"""),"sarusandhu100@gmail.com")</f>
        <v>sarusandhu100@gmail.com</v>
      </c>
      <c r="G38" s="1">
        <f ca="1">IFERROR(__xludf.DUMMYFUNCTION("""COMPUTED_VALUE"""),9779659481)</f>
        <v>9779659481</v>
      </c>
    </row>
    <row r="39" spans="1:7" x14ac:dyDescent="0.3">
      <c r="A39" s="1" t="str">
        <f ca="1">IFERROR(__xludf.DUMMYFUNCTION("""COMPUTED_VALUE"""),"Government Polytechnic College, Amritsar")</f>
        <v>Government Polytechnic College, Amritsar</v>
      </c>
      <c r="B39" s="1" t="str">
        <f ca="1">IFERROR(__xludf.DUMMYFUNCTION("""COMPUTED_VALUE"""),"Amritsar")</f>
        <v>Amritsar</v>
      </c>
      <c r="C39" s="1" t="str">
        <f ca="1">IFERROR(__xludf.DUMMYFUNCTION("""COMPUTED_VALUE"""),"Mechanical Engineering(RAC)")</f>
        <v>Mechanical Engineering(RAC)</v>
      </c>
      <c r="D39" s="1" t="str">
        <f ca="1">IFERROR(__xludf.DUMMYFUNCTION("""COMPUTED_VALUE"""),"Satish Kumar")</f>
        <v>Satish Kumar</v>
      </c>
      <c r="E39" s="1" t="str">
        <f ca="1">IFERROR(__xludf.DUMMYFUNCTION("""COMPUTED_VALUE"""),"HOD")</f>
        <v>HOD</v>
      </c>
      <c r="F39" s="1" t="str">
        <f ca="1">IFERROR(__xludf.DUMMYFUNCTION("""COMPUTED_VALUE"""),"skthapaptk@gmail.com")</f>
        <v>skthapaptk@gmail.com</v>
      </c>
      <c r="G39" s="1">
        <f ca="1">IFERROR(__xludf.DUMMYFUNCTION("""COMPUTED_VALUE"""),9501009363)</f>
        <v>9501009363</v>
      </c>
    </row>
    <row r="40" spans="1:7" x14ac:dyDescent="0.3">
      <c r="A40" s="1" t="str">
        <f ca="1">IFERROR(__xludf.DUMMYFUNCTION("""COMPUTED_VALUE"""),"Government Polytechnic College, Amritsar")</f>
        <v>Government Polytechnic College, Amritsar</v>
      </c>
      <c r="B40" s="1" t="str">
        <f ca="1">IFERROR(__xludf.DUMMYFUNCTION("""COMPUTED_VALUE"""),"Amritsar")</f>
        <v>Amritsar</v>
      </c>
      <c r="C40" s="1" t="str">
        <f ca="1">IFERROR(__xludf.DUMMYFUNCTION("""COMPUTED_VALUE"""),"Mechanical Engineering")</f>
        <v>Mechanical Engineering</v>
      </c>
      <c r="D40" s="1" t="str">
        <f ca="1">IFERROR(__xludf.DUMMYFUNCTION("""COMPUTED_VALUE"""),"Shivnandan")</f>
        <v>Shivnandan</v>
      </c>
      <c r="E40" s="1" t="str">
        <f ca="1">IFERROR(__xludf.DUMMYFUNCTION("""COMPUTED_VALUE"""),"Sr. Lecturer")</f>
        <v>Sr. Lecturer</v>
      </c>
      <c r="F40" s="1" t="str">
        <f ca="1">IFERROR(__xludf.DUMMYFUNCTION("""COMPUTED_VALUE"""),"shvnandan@gmail.com")</f>
        <v>shvnandan@gmail.com</v>
      </c>
      <c r="G40" s="1">
        <f ca="1">IFERROR(__xludf.DUMMYFUNCTION("""COMPUTED_VALUE"""),9501113483)</f>
        <v>9501113483</v>
      </c>
    </row>
    <row r="41" spans="1:7" x14ac:dyDescent="0.3">
      <c r="A41" s="1" t="str">
        <f ca="1">IFERROR(__xludf.DUMMYFUNCTION("""COMPUTED_VALUE"""),"Government Polytechnic College, Amritsar")</f>
        <v>Government Polytechnic College, Amritsar</v>
      </c>
      <c r="B41" s="1" t="str">
        <f ca="1">IFERROR(__xludf.DUMMYFUNCTION("""COMPUTED_VALUE"""),"Amritsar")</f>
        <v>Amritsar</v>
      </c>
      <c r="C41" s="1" t="str">
        <f ca="1">IFERROR(__xludf.DUMMYFUNCTION("""COMPUTED_VALUE"""),"Information Technology")</f>
        <v>Information Technology</v>
      </c>
      <c r="D41" s="1" t="str">
        <f ca="1">IFERROR(__xludf.DUMMYFUNCTION("""COMPUTED_VALUE"""),"Sumitter Bir Singh")</f>
        <v>Sumitter Bir Singh</v>
      </c>
      <c r="E41" s="1" t="str">
        <f ca="1">IFERROR(__xludf.DUMMYFUNCTION("""COMPUTED_VALUE"""),"Sr. Lecturer")</f>
        <v>Sr. Lecturer</v>
      </c>
      <c r="F41" s="1" t="str">
        <f ca="1">IFERROR(__xludf.DUMMYFUNCTION("""COMPUTED_VALUE"""),"Sumitter.josan@gmail.com")</f>
        <v>Sumitter.josan@gmail.com</v>
      </c>
      <c r="G41" s="1">
        <f ca="1">IFERROR(__xludf.DUMMYFUNCTION("""COMPUTED_VALUE"""),9501076066)</f>
        <v>9501076066</v>
      </c>
    </row>
    <row r="42" spans="1:7" x14ac:dyDescent="0.3">
      <c r="A42" s="1" t="str">
        <f ca="1">IFERROR(__xludf.DUMMYFUNCTION("""COMPUTED_VALUE"""),"Government Polytechnic College, Amritsar")</f>
        <v>Government Polytechnic College, Amritsar</v>
      </c>
      <c r="B42" s="1" t="str">
        <f ca="1">IFERROR(__xludf.DUMMYFUNCTION("""COMPUTED_VALUE"""),"Amritsar")</f>
        <v>Amritsar</v>
      </c>
      <c r="C42" s="1" t="str">
        <f ca="1">IFERROR(__xludf.DUMMYFUNCTION("""COMPUTED_VALUE"""),"Pharmacy")</f>
        <v>Pharmacy</v>
      </c>
      <c r="D42" s="1" t="str">
        <f ca="1">IFERROR(__xludf.DUMMYFUNCTION("""COMPUTED_VALUE"""),"Supreet Singh")</f>
        <v>Supreet Singh</v>
      </c>
      <c r="E42" s="1" t="str">
        <f ca="1">IFERROR(__xludf.DUMMYFUNCTION("""COMPUTED_VALUE"""),"Lecturer")</f>
        <v>Lecturer</v>
      </c>
      <c r="F42" s="1" t="str">
        <f ca="1">IFERROR(__xludf.DUMMYFUNCTION("""COMPUTED_VALUE"""),"supreet_tuli@rediffmail.com")</f>
        <v>supreet_tuli@rediffmail.com</v>
      </c>
      <c r="G42" s="1">
        <f ca="1">IFERROR(__xludf.DUMMYFUNCTION("""COMPUTED_VALUE"""),9463523493)</f>
        <v>9463523493</v>
      </c>
    </row>
    <row r="43" spans="1:7" x14ac:dyDescent="0.3">
      <c r="A43" s="1" t="str">
        <f ca="1">IFERROR(__xludf.DUMMYFUNCTION("""COMPUTED_VALUE"""),"Government Polytechnic College, Amritsar")</f>
        <v>Government Polytechnic College, Amritsar</v>
      </c>
      <c r="B43" s="1" t="str">
        <f ca="1">IFERROR(__xludf.DUMMYFUNCTION("""COMPUTED_VALUE"""),"Amritsar")</f>
        <v>Amritsar</v>
      </c>
      <c r="C43" s="1" t="str">
        <f ca="1">IFERROR(__xludf.DUMMYFUNCTION("""COMPUTED_VALUE"""),"Civil Engineering")</f>
        <v>Civil Engineering</v>
      </c>
      <c r="D43" s="1" t="str">
        <f ca="1">IFERROR(__xludf.DUMMYFUNCTION("""COMPUTED_VALUE"""),"Vishal Jeevan")</f>
        <v>Vishal Jeevan</v>
      </c>
      <c r="E43" s="1" t="str">
        <f ca="1">IFERROR(__xludf.DUMMYFUNCTION("""COMPUTED_VALUE"""),"Lecturer")</f>
        <v>Lecturer</v>
      </c>
      <c r="F43" s="1" t="str">
        <f ca="1">IFERROR(__xludf.DUMMYFUNCTION("""COMPUTED_VALUE"""),"Vishal.jeevan15@gmail.com")</f>
        <v>Vishal.jeevan15@gmail.com</v>
      </c>
      <c r="G43" s="1">
        <f ca="1">IFERROR(__xludf.DUMMYFUNCTION("""COMPUTED_VALUE"""),9876772387)</f>
        <v>9876772387</v>
      </c>
    </row>
    <row r="44" spans="1:7" x14ac:dyDescent="0.3">
      <c r="A44" s="1" t="str">
        <f ca="1">IFERROR(__xludf.DUMMYFUNCTION("""COMPUTED_VALUE"""),"Government Polytechnic College, Amritsar")</f>
        <v>Government Polytechnic College, Amritsar</v>
      </c>
      <c r="B44" s="1" t="str">
        <f ca="1">IFERROR(__xludf.DUMMYFUNCTION("""COMPUTED_VALUE"""),"Amritsar")</f>
        <v>Amritsar</v>
      </c>
      <c r="C44" s="1" t="str">
        <f ca="1">IFERROR(__xludf.DUMMYFUNCTION("""COMPUTED_VALUE"""),"Pharmacy")</f>
        <v>Pharmacy</v>
      </c>
      <c r="D44" s="1" t="str">
        <f ca="1">IFERROR(__xludf.DUMMYFUNCTION("""COMPUTED_VALUE"""),"Sh. Balihar Singh")</f>
        <v>Sh. Balihar Singh</v>
      </c>
      <c r="E44" s="1" t="str">
        <f ca="1">IFERROR(__xludf.DUMMYFUNCTION("""COMPUTED_VALUE"""),"Lecturer")</f>
        <v>Lecturer</v>
      </c>
      <c r="F44" s="1" t="str">
        <f ca="1">IFERROR(__xludf.DUMMYFUNCTION("""COMPUTED_VALUE"""),"baliharsingh70@gmail.com")</f>
        <v>baliharsingh70@gmail.com</v>
      </c>
      <c r="G44" s="1">
        <f ca="1">IFERROR(__xludf.DUMMYFUNCTION("""COMPUTED_VALUE"""),9855544198)</f>
        <v>9855544198</v>
      </c>
    </row>
    <row r="45" spans="1:7" x14ac:dyDescent="0.3">
      <c r="A45" s="1" t="str">
        <f ca="1">IFERROR(__xludf.DUMMYFUNCTION("""COMPUTED_VALUE"""),"Government Polytechnic College, Amritsar")</f>
        <v>Government Polytechnic College, Amritsar</v>
      </c>
      <c r="B45" s="1" t="str">
        <f ca="1">IFERROR(__xludf.DUMMYFUNCTION("""COMPUTED_VALUE"""),"Amritsar")</f>
        <v>Amritsar</v>
      </c>
      <c r="C45" s="1" t="str">
        <f ca="1">IFERROR(__xludf.DUMMYFUNCTION("""COMPUTED_VALUE"""),"Information Technology")</f>
        <v>Information Technology</v>
      </c>
      <c r="D45" s="1" t="str">
        <f ca="1">IFERROR(__xludf.DUMMYFUNCTION("""COMPUTED_VALUE"""),"Smt. Sandeep Kaur")</f>
        <v>Smt. Sandeep Kaur</v>
      </c>
      <c r="E45" s="1" t="str">
        <f ca="1">IFERROR(__xludf.DUMMYFUNCTION("""COMPUTED_VALUE"""),"Lecturer")</f>
        <v>Lecturer</v>
      </c>
      <c r="F45" s="1" t="str">
        <f ca="1">IFERROR(__xludf.DUMMYFUNCTION("""COMPUTED_VALUE"""),"sandydhaliwal606@gmail.com")</f>
        <v>sandydhaliwal606@gmail.com</v>
      </c>
      <c r="G45" s="1">
        <f ca="1">IFERROR(__xludf.DUMMYFUNCTION("""COMPUTED_VALUE"""),7837342091)</f>
        <v>7837342091</v>
      </c>
    </row>
    <row r="46" spans="1:7" x14ac:dyDescent="0.3">
      <c r="A46" s="1" t="str">
        <f ca="1">IFERROR(__xludf.DUMMYFUNCTION("""COMPUTED_VALUE"""),"Government Polytechnic College, Amritsar")</f>
        <v>Government Polytechnic College, Amritsar</v>
      </c>
      <c r="B46" s="1" t="str">
        <f ca="1">IFERROR(__xludf.DUMMYFUNCTION("""COMPUTED_VALUE"""),"Amritsar")</f>
        <v>Amritsar</v>
      </c>
      <c r="C46" s="1" t="str">
        <f ca="1">IFERROR(__xludf.DUMMYFUNCTION("""COMPUTED_VALUE"""),"Applied Science")</f>
        <v>Applied Science</v>
      </c>
      <c r="D46" s="1" t="str">
        <f ca="1">IFERROR(__xludf.DUMMYFUNCTION("""COMPUTED_VALUE"""),"Tarsem Singh ")</f>
        <v xml:space="preserve">Tarsem Singh </v>
      </c>
      <c r="E46" s="1" t="str">
        <f ca="1">IFERROR(__xludf.DUMMYFUNCTION("""COMPUTED_VALUE"""),"HOD")</f>
        <v>HOD</v>
      </c>
      <c r="F46" s="1" t="str">
        <f ca="1">IFERROR(__xludf.DUMMYFUNCTION("""COMPUTED_VALUE"""),"tarsemsingh.lgs@gmail.com")</f>
        <v>tarsemsingh.lgs@gmail.com</v>
      </c>
      <c r="G46" s="1">
        <f ca="1">IFERROR(__xludf.DUMMYFUNCTION("""COMPUTED_VALUE"""),6280277626)</f>
        <v>6280277626</v>
      </c>
    </row>
    <row r="47" spans="1:7" x14ac:dyDescent="0.3">
      <c r="A47" s="1" t="str">
        <f ca="1">IFERROR(__xludf.DUMMYFUNCTION("""COMPUTED_VALUE"""),"Government Polytechnic College, Amritsar")</f>
        <v>Government Polytechnic College, Amritsar</v>
      </c>
      <c r="B47" s="1" t="str">
        <f ca="1">IFERROR(__xludf.DUMMYFUNCTION("""COMPUTED_VALUE"""),"Amritsar ")</f>
        <v xml:space="preserve">Amritsar </v>
      </c>
      <c r="C47" s="1" t="str">
        <f ca="1">IFERROR(__xludf.DUMMYFUNCTION("""COMPUTED_VALUE"""),"Applied Science")</f>
        <v>Applied Science</v>
      </c>
      <c r="D47" s="1" t="str">
        <f ca="1">IFERROR(__xludf.DUMMYFUNCTION("""COMPUTED_VALUE"""),"Jasmeet Kaur")</f>
        <v>Jasmeet Kaur</v>
      </c>
      <c r="E47" s="1" t="str">
        <f ca="1">IFERROR(__xludf.DUMMYFUNCTION("""COMPUTED_VALUE"""),"Sr. Lecturer")</f>
        <v>Sr. Lecturer</v>
      </c>
      <c r="F47" s="1" t="str">
        <f ca="1">IFERROR(__xludf.DUMMYFUNCTION("""COMPUTED_VALUE"""),"kjasmeet1968@gmail.com")</f>
        <v>kjasmeet1968@gmail.com</v>
      </c>
      <c r="G47" s="1">
        <f ca="1">IFERROR(__xludf.DUMMYFUNCTION("""COMPUTED_VALUE"""),9501105530)</f>
        <v>9501105530</v>
      </c>
    </row>
    <row r="48" spans="1:7" x14ac:dyDescent="0.3">
      <c r="A48" s="1" t="str">
        <f ca="1">IFERROR(__xludf.DUMMYFUNCTION("""COMPUTED_VALUE"""),"Government Polytechnic College.Amritsar")</f>
        <v>Government Polytechnic College.Amritsar</v>
      </c>
      <c r="B48" s="1" t="str">
        <f ca="1">IFERROR(__xludf.DUMMYFUNCTION("""COMPUTED_VALUE"""),"Amritsar")</f>
        <v>Amritsar</v>
      </c>
      <c r="C48" s="1" t="str">
        <f ca="1">IFERROR(__xludf.DUMMYFUNCTION("""COMPUTED_VALUE"""),"Pharmacy")</f>
        <v>Pharmacy</v>
      </c>
      <c r="D48" s="1" t="str">
        <f ca="1">IFERROR(__xludf.DUMMYFUNCTION("""COMPUTED_VALUE"""),"Harinder Kaur")</f>
        <v>Harinder Kaur</v>
      </c>
      <c r="E48" s="1" t="str">
        <f ca="1">IFERROR(__xludf.DUMMYFUNCTION("""COMPUTED_VALUE"""),"Lecturer")</f>
        <v>Lecturer</v>
      </c>
      <c r="F48" s="1" t="str">
        <f ca="1">IFERROR(__xludf.DUMMYFUNCTION("""COMPUTED_VALUE"""),"pannuharinder219@gmail.com")</f>
        <v>pannuharinder219@gmail.com</v>
      </c>
      <c r="G48" s="1">
        <f ca="1">IFERROR(__xludf.DUMMYFUNCTION("""COMPUTED_VALUE"""),6280877793)</f>
        <v>6280877793</v>
      </c>
    </row>
    <row r="49" spans="1:7" x14ac:dyDescent="0.3">
      <c r="A49" s="1" t="str">
        <f ca="1">IFERROR(__xludf.DUMMYFUNCTION("""COMPUTED_VALUE"""),"Government Polytechnic College Amritsar ")</f>
        <v xml:space="preserve">Government Polytechnic College Amritsar </v>
      </c>
      <c r="B49" s="1" t="str">
        <f ca="1">IFERROR(__xludf.DUMMYFUNCTION("""COMPUTED_VALUE"""),"Amritsar ")</f>
        <v xml:space="preserve">Amritsar </v>
      </c>
      <c r="C49" s="1" t="str">
        <f ca="1">IFERROR(__xludf.DUMMYFUNCTION("""COMPUTED_VALUE"""),"Workshop ")</f>
        <v xml:space="preserve">Workshop </v>
      </c>
      <c r="D49" s="1" t="str">
        <f ca="1">IFERROR(__xludf.DUMMYFUNCTION("""COMPUTED_VALUE"""),"Tejpal Singh ")</f>
        <v xml:space="preserve">Tejpal Singh </v>
      </c>
      <c r="E49" s="1" t="str">
        <f ca="1">IFERROR(__xludf.DUMMYFUNCTION("""COMPUTED_VALUE"""),"Workshop Instructor ")</f>
        <v xml:space="preserve">Workshop Instructor </v>
      </c>
      <c r="F49" s="1" t="str">
        <f ca="1">IFERROR(__xludf.DUMMYFUNCTION("""COMPUTED_VALUE"""),"tpsingh722@gmail.com")</f>
        <v>tpsingh722@gmail.com</v>
      </c>
      <c r="G49" s="1">
        <f ca="1">IFERROR(__xludf.DUMMYFUNCTION("""COMPUTED_VALUE"""),9465126926)</f>
        <v>9465126926</v>
      </c>
    </row>
    <row r="50" spans="1:7" x14ac:dyDescent="0.3">
      <c r="A50" s="1" t="str">
        <f ca="1">IFERROR(__xludf.DUMMYFUNCTION("""COMPUTED_VALUE"""),"Government Polytechnic College Amritsar ")</f>
        <v xml:space="preserve">Government Polytechnic College Amritsar </v>
      </c>
      <c r="B50" s="1" t="str">
        <f ca="1">IFERROR(__xludf.DUMMYFUNCTION("""COMPUTED_VALUE"""),"Amritsar ")</f>
        <v xml:space="preserve">Amritsar </v>
      </c>
      <c r="C50" s="1" t="str">
        <f ca="1">IFERROR(__xludf.DUMMYFUNCTION("""COMPUTED_VALUE"""),"Pharmacy ")</f>
        <v xml:space="preserve">Pharmacy </v>
      </c>
      <c r="D50" s="1" t="str">
        <f ca="1">IFERROR(__xludf.DUMMYFUNCTION("""COMPUTED_VALUE"""),"Inderdeep Singh ")</f>
        <v xml:space="preserve">Inderdeep Singh </v>
      </c>
      <c r="E50" s="1" t="str">
        <f ca="1">IFERROR(__xludf.DUMMYFUNCTION("""COMPUTED_VALUE"""),"Peon")</f>
        <v>Peon</v>
      </c>
      <c r="F50" s="1" t="str">
        <f ca="1">IFERROR(__xludf.DUMMYFUNCTION("""COMPUTED_VALUE"""),"singhinderdeep199@gmail.com")</f>
        <v>singhinderdeep199@gmail.com</v>
      </c>
      <c r="G50" s="1">
        <f ca="1">IFERROR(__xludf.DUMMYFUNCTION("""COMPUTED_VALUE"""),9501442784)</f>
        <v>9501442784</v>
      </c>
    </row>
    <row r="51" spans="1:7" x14ac:dyDescent="0.3">
      <c r="A51" s="1" t="str">
        <f ca="1">IFERROR(__xludf.DUMMYFUNCTION("""COMPUTED_VALUE"""),"Governement Polytechnic College Girls, Amritsar")</f>
        <v>Governement Polytechnic College Girls, Amritsar</v>
      </c>
      <c r="B51" s="1" t="str">
        <f ca="1">IFERROR(__xludf.DUMMYFUNCTION("""COMPUTED_VALUE"""),"Amritsar")</f>
        <v>Amritsar</v>
      </c>
      <c r="C51" s="1" t="str">
        <f ca="1">IFERROR(__xludf.DUMMYFUNCTION("""COMPUTED_VALUE"""),"Architecture Assistanceship")</f>
        <v>Architecture Assistanceship</v>
      </c>
      <c r="D51" s="1" t="str">
        <f ca="1">IFERROR(__xludf.DUMMYFUNCTION("""COMPUTED_VALUE"""),"Meena Sharma")</f>
        <v>Meena Sharma</v>
      </c>
      <c r="E51" s="1" t="str">
        <f ca="1">IFERROR(__xludf.DUMMYFUNCTION("""COMPUTED_VALUE"""),"Lecturer")</f>
        <v>Lecturer</v>
      </c>
      <c r="F51" s="1" t="str">
        <f ca="1">IFERROR(__xludf.DUMMYFUNCTION("""COMPUTED_VALUE"""),"meenasharma178@gmail.com")</f>
        <v>meenasharma178@gmail.com</v>
      </c>
      <c r="G51" s="1">
        <f ca="1">IFERROR(__xludf.DUMMYFUNCTION("""COMPUTED_VALUE"""),8968128338)</f>
        <v>8968128338</v>
      </c>
    </row>
    <row r="52" spans="1:7" x14ac:dyDescent="0.3">
      <c r="A52" s="1" t="str">
        <f ca="1">IFERROR(__xludf.DUMMYFUNCTION("""COMPUTED_VALUE"""),"Governement Polytechnic College Girls, Amritsar")</f>
        <v>Governement Polytechnic College Girls, Amritsar</v>
      </c>
      <c r="B52" s="1" t="str">
        <f ca="1">IFERROR(__xludf.DUMMYFUNCTION("""COMPUTED_VALUE"""),"Amritsar")</f>
        <v>Amritsar</v>
      </c>
      <c r="C52" s="1" t="str">
        <f ca="1">IFERROR(__xludf.DUMMYFUNCTION("""COMPUTED_VALUE"""),"Computer Science and Engineering")</f>
        <v>Computer Science and Engineering</v>
      </c>
      <c r="D52" s="1" t="str">
        <f ca="1">IFERROR(__xludf.DUMMYFUNCTION("""COMPUTED_VALUE"""),"Amanpreet Singh")</f>
        <v>Amanpreet Singh</v>
      </c>
      <c r="E52" s="1" t="str">
        <f ca="1">IFERROR(__xludf.DUMMYFUNCTION("""COMPUTED_VALUE"""),"Lecturer")</f>
        <v>Lecturer</v>
      </c>
      <c r="F52" s="1" t="str">
        <f ca="1">IFERROR(__xludf.DUMMYFUNCTION("""COMPUTED_VALUE"""),"amanpreet.gpcg@gmail.com ")</f>
        <v xml:space="preserve">amanpreet.gpcg@gmail.com </v>
      </c>
      <c r="G52" s="1">
        <f ca="1">IFERROR(__xludf.DUMMYFUNCTION("""COMPUTED_VALUE"""),7508980809)</f>
        <v>7508980809</v>
      </c>
    </row>
    <row r="53" spans="1:7" x14ac:dyDescent="0.3">
      <c r="A53" s="1" t="str">
        <f ca="1">IFERROR(__xludf.DUMMYFUNCTION("""COMPUTED_VALUE"""),"Governement Polytechnic College Girls, Amritsar")</f>
        <v>Governement Polytechnic College Girls, Amritsar</v>
      </c>
      <c r="B53" s="1" t="str">
        <f ca="1">IFERROR(__xludf.DUMMYFUNCTION("""COMPUTED_VALUE"""),"Amritsar")</f>
        <v>Amritsar</v>
      </c>
      <c r="C53" s="1" t="str">
        <f ca="1">IFERROR(__xludf.DUMMYFUNCTION("""COMPUTED_VALUE"""),"Electronics and Communications Engineering")</f>
        <v>Electronics and Communications Engineering</v>
      </c>
      <c r="D53" s="1" t="str">
        <f ca="1">IFERROR(__xludf.DUMMYFUNCTION("""COMPUTED_VALUE"""),"Baljinder Singh")</f>
        <v>Baljinder Singh</v>
      </c>
      <c r="E53" s="1" t="str">
        <f ca="1">IFERROR(__xludf.DUMMYFUNCTION("""COMPUTED_VALUE"""),"Workshop Instructor")</f>
        <v>Workshop Instructor</v>
      </c>
      <c r="F53" s="1" t="str">
        <f ca="1">IFERROR(__xludf.DUMMYFUNCTION("""COMPUTED_VALUE"""),"bal179asr@gmail.com")</f>
        <v>bal179asr@gmail.com</v>
      </c>
      <c r="G53" s="1"/>
    </row>
    <row r="54" spans="1:7" x14ac:dyDescent="0.3">
      <c r="A54" s="1" t="str">
        <f ca="1">IFERROR(__xludf.DUMMYFUNCTION("""COMPUTED_VALUE"""),"Governement Polytechnic College Girls, Amritsar")</f>
        <v>Governement Polytechnic College Girls, Amritsar</v>
      </c>
      <c r="B54" s="1" t="str">
        <f ca="1">IFERROR(__xludf.DUMMYFUNCTION("""COMPUTED_VALUE"""),"Amritsar")</f>
        <v>Amritsar</v>
      </c>
      <c r="C54" s="1" t="str">
        <f ca="1">IFERROR(__xludf.DUMMYFUNCTION("""COMPUTED_VALUE"""),"Modern Office Practice")</f>
        <v>Modern Office Practice</v>
      </c>
      <c r="D54" s="1" t="str">
        <f ca="1">IFERROR(__xludf.DUMMYFUNCTION("""COMPUTED_VALUE"""),"Gurpinder Kaur")</f>
        <v>Gurpinder Kaur</v>
      </c>
      <c r="E54" s="1" t="str">
        <f ca="1">IFERROR(__xludf.DUMMYFUNCTION("""COMPUTED_VALUE"""),"Lecturer")</f>
        <v>Lecturer</v>
      </c>
      <c r="F54" s="1" t="str">
        <f ca="1">IFERROR(__xludf.DUMMYFUNCTION("""COMPUTED_VALUE"""),"gurpinder1974@gmail.com")</f>
        <v>gurpinder1974@gmail.com</v>
      </c>
      <c r="G54" s="1"/>
    </row>
    <row r="55" spans="1:7" x14ac:dyDescent="0.3">
      <c r="A55" s="1" t="str">
        <f ca="1">IFERROR(__xludf.DUMMYFUNCTION("""COMPUTED_VALUE"""),"Governement Polytechnic College Girls, Amritsar")</f>
        <v>Governement Polytechnic College Girls, Amritsar</v>
      </c>
      <c r="B55" s="1" t="str">
        <f ca="1">IFERROR(__xludf.DUMMYFUNCTION("""COMPUTED_VALUE"""),"Amritsar")</f>
        <v>Amritsar</v>
      </c>
      <c r="C55" s="1" t="str">
        <f ca="1">IFERROR(__xludf.DUMMYFUNCTION("""COMPUTED_VALUE"""),"Computer Science and Engineering")</f>
        <v>Computer Science and Engineering</v>
      </c>
      <c r="D55" s="1" t="str">
        <f ca="1">IFERROR(__xludf.DUMMYFUNCTION("""COMPUTED_VALUE"""),"Harsimran Singh Dhanju")</f>
        <v>Harsimran Singh Dhanju</v>
      </c>
      <c r="E55" s="1" t="str">
        <f ca="1">IFERROR(__xludf.DUMMYFUNCTION("""COMPUTED_VALUE"""),"Lecturer")</f>
        <v>Lecturer</v>
      </c>
      <c r="F55" s="1" t="str">
        <f ca="1">IFERROR(__xludf.DUMMYFUNCTION("""COMPUTED_VALUE"""),"dhanju26.72@gmail.com ")</f>
        <v xml:space="preserve">dhanju26.72@gmail.com </v>
      </c>
      <c r="G55" s="1">
        <f ca="1">IFERROR(__xludf.DUMMYFUNCTION("""COMPUTED_VALUE"""),7986928013)</f>
        <v>7986928013</v>
      </c>
    </row>
    <row r="56" spans="1:7" x14ac:dyDescent="0.3">
      <c r="A56" s="1" t="str">
        <f ca="1">IFERROR(__xludf.DUMMYFUNCTION("""COMPUTED_VALUE"""),"Governement Polytechnic College Girls, Amritsar")</f>
        <v>Governement Polytechnic College Girls, Amritsar</v>
      </c>
      <c r="B56" s="1" t="str">
        <f ca="1">IFERROR(__xludf.DUMMYFUNCTION("""COMPUTED_VALUE"""),"Amritsar")</f>
        <v>Amritsar</v>
      </c>
      <c r="C56" s="1" t="str">
        <f ca="1">IFERROR(__xludf.DUMMYFUNCTION("""COMPUTED_VALUE"""),"Applied Science")</f>
        <v>Applied Science</v>
      </c>
      <c r="D56" s="1" t="str">
        <f ca="1">IFERROR(__xludf.DUMMYFUNCTION("""COMPUTED_VALUE"""),"inderjit singh")</f>
        <v>inderjit singh</v>
      </c>
      <c r="E56" s="1" t="str">
        <f ca="1">IFERROR(__xludf.DUMMYFUNCTION("""COMPUTED_VALUE"""),"Lecturer")</f>
        <v>Lecturer</v>
      </c>
      <c r="F56" s="1" t="str">
        <f ca="1">IFERROR(__xludf.DUMMYFUNCTION("""COMPUTED_VALUE"""),"inderjitasr@gmail.com")</f>
        <v>inderjitasr@gmail.com</v>
      </c>
      <c r="G56" s="1"/>
    </row>
    <row r="57" spans="1:7" x14ac:dyDescent="0.3">
      <c r="A57" s="1" t="str">
        <f ca="1">IFERROR(__xludf.DUMMYFUNCTION("""COMPUTED_VALUE"""),"Governement Polytechnic College Girls, Amritsar")</f>
        <v>Governement Polytechnic College Girls, Amritsar</v>
      </c>
      <c r="B57" s="1" t="str">
        <f ca="1">IFERROR(__xludf.DUMMYFUNCTION("""COMPUTED_VALUE"""),"Amritsar")</f>
        <v>Amritsar</v>
      </c>
      <c r="C57" s="1" t="str">
        <f ca="1">IFERROR(__xludf.DUMMYFUNCTION("""COMPUTED_VALUE"""),"Workshop")</f>
        <v>Workshop</v>
      </c>
      <c r="D57" s="1" t="str">
        <f ca="1">IFERROR(__xludf.DUMMYFUNCTION("""COMPUTED_VALUE"""),"JAGTAR SINGH")</f>
        <v>JAGTAR SINGH</v>
      </c>
      <c r="E57" s="1" t="str">
        <f ca="1">IFERROR(__xludf.DUMMYFUNCTION("""COMPUTED_VALUE"""),"Foreman Instructor")</f>
        <v>Foreman Instructor</v>
      </c>
      <c r="F57" s="1" t="str">
        <f ca="1">IFERROR(__xludf.DUMMYFUNCTION("""COMPUTED_VALUE"""),"jagtarasr71@gmail.com")</f>
        <v>jagtarasr71@gmail.com</v>
      </c>
      <c r="G57" s="1"/>
    </row>
    <row r="58" spans="1:7" x14ac:dyDescent="0.3">
      <c r="A58" s="1" t="str">
        <f ca="1">IFERROR(__xludf.DUMMYFUNCTION("""COMPUTED_VALUE"""),"Governement Polytechnic College Girls, Amritsar")</f>
        <v>Governement Polytechnic College Girls, Amritsar</v>
      </c>
      <c r="B58" s="1" t="str">
        <f ca="1">IFERROR(__xludf.DUMMYFUNCTION("""COMPUTED_VALUE"""),"Amritsar")</f>
        <v>Amritsar</v>
      </c>
      <c r="C58" s="1" t="str">
        <f ca="1">IFERROR(__xludf.DUMMYFUNCTION("""COMPUTED_VALUE"""),"Electronics and Communications Engineering")</f>
        <v>Electronics and Communications Engineering</v>
      </c>
      <c r="D58" s="1" t="str">
        <f ca="1">IFERROR(__xludf.DUMMYFUNCTION("""COMPUTED_VALUE"""),"Jasminderjit Singh")</f>
        <v>Jasminderjit Singh</v>
      </c>
      <c r="E58" s="1" t="str">
        <f ca="1">IFERROR(__xludf.DUMMYFUNCTION("""COMPUTED_VALUE"""),"HOD")</f>
        <v>HOD</v>
      </c>
      <c r="F58" s="1" t="str">
        <f ca="1">IFERROR(__xludf.DUMMYFUNCTION("""COMPUTED_VALUE"""),"jasminderjit.2031@punjab.gov.in")</f>
        <v>jasminderjit.2031@punjab.gov.in</v>
      </c>
      <c r="G58" s="1"/>
    </row>
    <row r="59" spans="1:7" x14ac:dyDescent="0.3">
      <c r="A59" s="1" t="str">
        <f ca="1">IFERROR(__xludf.DUMMYFUNCTION("""COMPUTED_VALUE"""),"Governement Polytechnic College Girls, Amritsar")</f>
        <v>Governement Polytechnic College Girls, Amritsar</v>
      </c>
      <c r="B59" s="1" t="str">
        <f ca="1">IFERROR(__xludf.DUMMYFUNCTION("""COMPUTED_VALUE"""),"Amritsar")</f>
        <v>Amritsar</v>
      </c>
      <c r="C59" s="1" t="str">
        <f ca="1">IFERROR(__xludf.DUMMYFUNCTION("""COMPUTED_VALUE"""),"Computer Science and Engineering")</f>
        <v>Computer Science and Engineering</v>
      </c>
      <c r="D59" s="1" t="str">
        <f ca="1">IFERROR(__xludf.DUMMYFUNCTION("""COMPUTED_VALUE"""),"Naresh Luthra")</f>
        <v>Naresh Luthra</v>
      </c>
      <c r="E59" s="1" t="str">
        <f ca="1">IFERROR(__xludf.DUMMYFUNCTION("""COMPUTED_VALUE"""),"HOD")</f>
        <v>HOD</v>
      </c>
      <c r="F59" s="1" t="str">
        <f ca="1">IFERROR(__xludf.DUMMYFUNCTION("""COMPUTED_VALUE"""),"nluthra32@gmail.com")</f>
        <v>nluthra32@gmail.com</v>
      </c>
      <c r="G59" s="1">
        <f ca="1">IFERROR(__xludf.DUMMYFUNCTION("""COMPUTED_VALUE"""),9814701094)</f>
        <v>9814701094</v>
      </c>
    </row>
    <row r="60" spans="1:7" x14ac:dyDescent="0.3">
      <c r="A60" s="1" t="str">
        <f ca="1">IFERROR(__xludf.DUMMYFUNCTION("""COMPUTED_VALUE"""),"Governement Polytechnic College Girls, Amritsar")</f>
        <v>Governement Polytechnic College Girls, Amritsar</v>
      </c>
      <c r="B60" s="1" t="str">
        <f ca="1">IFERROR(__xludf.DUMMYFUNCTION("""COMPUTED_VALUE"""),"Amritsar")</f>
        <v>Amritsar</v>
      </c>
      <c r="C60" s="1" t="str">
        <f ca="1">IFERROR(__xludf.DUMMYFUNCTION("""COMPUTED_VALUE"""),"Computer Science and Engineering")</f>
        <v>Computer Science and Engineering</v>
      </c>
      <c r="D60" s="1" t="str">
        <f ca="1">IFERROR(__xludf.DUMMYFUNCTION("""COMPUTED_VALUE"""),"Navdeep Kaur")</f>
        <v>Navdeep Kaur</v>
      </c>
      <c r="E60" s="1" t="str">
        <f ca="1">IFERROR(__xludf.DUMMYFUNCTION("""COMPUTED_VALUE"""),"Lecturer")</f>
        <v>Lecturer</v>
      </c>
      <c r="F60" s="1" t="str">
        <f ca="1">IFERROR(__xludf.DUMMYFUNCTION("""COMPUTED_VALUE"""),"nav783@yahoo.com")</f>
        <v>nav783@yahoo.com</v>
      </c>
      <c r="G60" s="1">
        <f ca="1">IFERROR(__xludf.DUMMYFUNCTION("""COMPUTED_VALUE"""),9530636799)</f>
        <v>9530636799</v>
      </c>
    </row>
    <row r="61" spans="1:7" x14ac:dyDescent="0.3">
      <c r="A61" s="1" t="str">
        <f ca="1">IFERROR(__xludf.DUMMYFUNCTION("""COMPUTED_VALUE"""),"Governement Polytechnic College Girls, Amritsar")</f>
        <v>Governement Polytechnic College Girls, Amritsar</v>
      </c>
      <c r="B61" s="1" t="str">
        <f ca="1">IFERROR(__xludf.DUMMYFUNCTION("""COMPUTED_VALUE"""),"Amritsar")</f>
        <v>Amritsar</v>
      </c>
      <c r="C61" s="1" t="str">
        <f ca="1">IFERROR(__xludf.DUMMYFUNCTION("""COMPUTED_VALUE"""),"Modern Office Practice")</f>
        <v>Modern Office Practice</v>
      </c>
      <c r="D61" s="1" t="str">
        <f ca="1">IFERROR(__xludf.DUMMYFUNCTION("""COMPUTED_VALUE"""),"Nirpreet kaur")</f>
        <v>Nirpreet kaur</v>
      </c>
      <c r="E61" s="1" t="str">
        <f ca="1">IFERROR(__xludf.DUMMYFUNCTION("""COMPUTED_VALUE"""),"Lecturer")</f>
        <v>Lecturer</v>
      </c>
      <c r="F61" s="1" t="str">
        <f ca="1">IFERROR(__xludf.DUMMYFUNCTION("""COMPUTED_VALUE"""),"Nirpreet2018@gmail.com")</f>
        <v>Nirpreet2018@gmail.com</v>
      </c>
      <c r="G61" s="1">
        <f ca="1">IFERROR(__xludf.DUMMYFUNCTION("""COMPUTED_VALUE"""),9872247402)</f>
        <v>9872247402</v>
      </c>
    </row>
    <row r="62" spans="1:7" x14ac:dyDescent="0.3">
      <c r="A62" s="1" t="str">
        <f ca="1">IFERROR(__xludf.DUMMYFUNCTION("""COMPUTED_VALUE"""),"Governement Polytechnic College Girls, Amritsar")</f>
        <v>Governement Polytechnic College Girls, Amritsar</v>
      </c>
      <c r="B62" s="1" t="str">
        <f ca="1">IFERROR(__xludf.DUMMYFUNCTION("""COMPUTED_VALUE"""),"Amritsar")</f>
        <v>Amritsar</v>
      </c>
      <c r="C62" s="1" t="str">
        <f ca="1">IFERROR(__xludf.DUMMYFUNCTION("""COMPUTED_VALUE"""),"Computer Science and Engineering")</f>
        <v>Computer Science and Engineering</v>
      </c>
      <c r="D62" s="1" t="str">
        <f ca="1">IFERROR(__xludf.DUMMYFUNCTION("""COMPUTED_VALUE"""),"Padamjit")</f>
        <v>Padamjit</v>
      </c>
      <c r="E62" s="1" t="str">
        <f ca="1">IFERROR(__xludf.DUMMYFUNCTION("""COMPUTED_VALUE"""),"Lecturer")</f>
        <v>Lecturer</v>
      </c>
      <c r="F62" s="1" t="str">
        <f ca="1">IFERROR(__xludf.DUMMYFUNCTION("""COMPUTED_VALUE"""),"padamjit.77@punjab.gov.in")</f>
        <v>padamjit.77@punjab.gov.in</v>
      </c>
      <c r="G62" s="1"/>
    </row>
    <row r="63" spans="1:7" x14ac:dyDescent="0.3">
      <c r="A63" s="1" t="str">
        <f ca="1">IFERROR(__xludf.DUMMYFUNCTION("""COMPUTED_VALUE"""),"Governement Polytechnic College Girls, Amritsar")</f>
        <v>Governement Polytechnic College Girls, Amritsar</v>
      </c>
      <c r="B63" s="1" t="str">
        <f ca="1">IFERROR(__xludf.DUMMYFUNCTION("""COMPUTED_VALUE"""),"Amritsar")</f>
        <v>Amritsar</v>
      </c>
      <c r="C63" s="1" t="str">
        <f ca="1">IFERROR(__xludf.DUMMYFUNCTION("""COMPUTED_VALUE"""),"Mechanical Engineering")</f>
        <v>Mechanical Engineering</v>
      </c>
      <c r="D63" s="1" t="str">
        <f ca="1">IFERROR(__xludf.DUMMYFUNCTION("""COMPUTED_VALUE"""),"Pawandeep Singh")</f>
        <v>Pawandeep Singh</v>
      </c>
      <c r="E63" s="1" t="str">
        <f ca="1">IFERROR(__xludf.DUMMYFUNCTION("""COMPUTED_VALUE"""),"Lecturer")</f>
        <v>Lecturer</v>
      </c>
      <c r="F63" s="1" t="str">
        <f ca="1">IFERROR(__xludf.DUMMYFUNCTION("""COMPUTED_VALUE"""),"Pawandeep.1991@punjab.gov.in")</f>
        <v>Pawandeep.1991@punjab.gov.in</v>
      </c>
      <c r="G63" s="1"/>
    </row>
    <row r="64" spans="1:7" x14ac:dyDescent="0.3">
      <c r="A64" s="1" t="str">
        <f ca="1">IFERROR(__xludf.DUMMYFUNCTION("""COMPUTED_VALUE"""),"Governement Polytechnic College Girls, Amritsar")</f>
        <v>Governement Polytechnic College Girls, Amritsar</v>
      </c>
      <c r="B64" s="1" t="str">
        <f ca="1">IFERROR(__xludf.DUMMYFUNCTION("""COMPUTED_VALUE"""),"Amritsar")</f>
        <v>Amritsar</v>
      </c>
      <c r="C64" s="1" t="str">
        <f ca="1">IFERROR(__xludf.DUMMYFUNCTION("""COMPUTED_VALUE"""),"Workshop")</f>
        <v>Workshop</v>
      </c>
      <c r="D64" s="1" t="str">
        <f ca="1">IFERROR(__xludf.DUMMYFUNCTION("""COMPUTED_VALUE"""),"RAJ KUMAR")</f>
        <v>RAJ KUMAR</v>
      </c>
      <c r="E64" s="1" t="str">
        <f ca="1">IFERROR(__xludf.DUMMYFUNCTION("""COMPUTED_VALUE"""),"Workshop Instructor")</f>
        <v>Workshop Instructor</v>
      </c>
      <c r="F64" s="1" t="str">
        <f ca="1">IFERROR(__xludf.DUMMYFUNCTION("""COMPUTED_VALUE"""),"raj.talwar@punjab.gov.in")</f>
        <v>raj.talwar@punjab.gov.in</v>
      </c>
      <c r="G64" s="1"/>
    </row>
    <row r="65" spans="1:7" x14ac:dyDescent="0.3">
      <c r="A65" s="1" t="str">
        <f ca="1">IFERROR(__xludf.DUMMYFUNCTION("""COMPUTED_VALUE"""),"Governement Polytechnic College Girls, Amritsar")</f>
        <v>Governement Polytechnic College Girls, Amritsar</v>
      </c>
      <c r="B65" s="1" t="str">
        <f ca="1">IFERROR(__xludf.DUMMYFUNCTION("""COMPUTED_VALUE"""),"Amritsar")</f>
        <v>Amritsar</v>
      </c>
      <c r="C65" s="1" t="str">
        <f ca="1">IFERROR(__xludf.DUMMYFUNCTION("""COMPUTED_VALUE"""),"Applied Science")</f>
        <v>Applied Science</v>
      </c>
      <c r="D65" s="1" t="str">
        <f ca="1">IFERROR(__xludf.DUMMYFUNCTION("""COMPUTED_VALUE"""),"Rajwant Kaur")</f>
        <v>Rajwant Kaur</v>
      </c>
      <c r="E65" s="1" t="str">
        <f ca="1">IFERROR(__xludf.DUMMYFUNCTION("""COMPUTED_VALUE"""),"Sr. Lecturer")</f>
        <v>Sr. Lecturer</v>
      </c>
      <c r="F65" s="1" t="str">
        <f ca="1">IFERROR(__xludf.DUMMYFUNCTION("""COMPUTED_VALUE"""),"Kaur.rajwant1969@gmail.com")</f>
        <v>Kaur.rajwant1969@gmail.com</v>
      </c>
      <c r="G65" s="1">
        <f ca="1">IFERROR(__xludf.DUMMYFUNCTION("""COMPUTED_VALUE"""),9914263363)</f>
        <v>9914263363</v>
      </c>
    </row>
    <row r="66" spans="1:7" x14ac:dyDescent="0.3">
      <c r="A66" s="1" t="str">
        <f ca="1">IFERROR(__xludf.DUMMYFUNCTION("""COMPUTED_VALUE"""),"Governement Polytechnic College Girls, Amritsar")</f>
        <v>Governement Polytechnic College Girls, Amritsar</v>
      </c>
      <c r="B66" s="1" t="str">
        <f ca="1">IFERROR(__xludf.DUMMYFUNCTION("""COMPUTED_VALUE"""),"Amritsar")</f>
        <v>Amritsar</v>
      </c>
      <c r="C66" s="1" t="str">
        <f ca="1">IFERROR(__xludf.DUMMYFUNCTION("""COMPUTED_VALUE"""),"Applied Science")</f>
        <v>Applied Science</v>
      </c>
      <c r="D66" s="1" t="str">
        <f ca="1">IFERROR(__xludf.DUMMYFUNCTION("""COMPUTED_VALUE"""),"Rakesh chopra")</f>
        <v>Rakesh chopra</v>
      </c>
      <c r="E66" s="1" t="str">
        <f ca="1">IFERROR(__xludf.DUMMYFUNCTION("""COMPUTED_VALUE"""),"Lecturer")</f>
        <v>Lecturer</v>
      </c>
      <c r="F66" s="1" t="str">
        <f ca="1">IFERROR(__xludf.DUMMYFUNCTION("""COMPUTED_VALUE"""),"rakeshchopra9@yahoo.com")</f>
        <v>rakeshchopra9@yahoo.com</v>
      </c>
      <c r="G66" s="1">
        <f ca="1">IFERROR(__xludf.DUMMYFUNCTION("""COMPUTED_VALUE"""),8968285750)</f>
        <v>8968285750</v>
      </c>
    </row>
    <row r="67" spans="1:7" x14ac:dyDescent="0.3">
      <c r="A67" s="1" t="str">
        <f ca="1">IFERROR(__xludf.DUMMYFUNCTION("""COMPUTED_VALUE"""),"Governement Polytechnic College Girls, Amritsar")</f>
        <v>Governement Polytechnic College Girls, Amritsar</v>
      </c>
      <c r="B67" s="1" t="str">
        <f ca="1">IFERROR(__xludf.DUMMYFUNCTION("""COMPUTED_VALUE"""),"Amritsar")</f>
        <v>Amritsar</v>
      </c>
      <c r="C67" s="1" t="str">
        <f ca="1">IFERROR(__xludf.DUMMYFUNCTION("""COMPUTED_VALUE"""),"Electronics and Communications Engineering")</f>
        <v>Electronics and Communications Engineering</v>
      </c>
      <c r="D67" s="1" t="str">
        <f ca="1">IFERROR(__xludf.DUMMYFUNCTION("""COMPUTED_VALUE"""),"Ramandeep kaur")</f>
        <v>Ramandeep kaur</v>
      </c>
      <c r="E67" s="1" t="str">
        <f ca="1">IFERROR(__xludf.DUMMYFUNCTION("""COMPUTED_VALUE"""),"Lecturer")</f>
        <v>Lecturer</v>
      </c>
      <c r="F67" s="1" t="str">
        <f ca="1">IFERROR(__xludf.DUMMYFUNCTION("""COMPUTED_VALUE"""),"Ramandeep.Kaur83@punjab.gov.in")</f>
        <v>Ramandeep.Kaur83@punjab.gov.in</v>
      </c>
      <c r="G67" s="1"/>
    </row>
    <row r="68" spans="1:7" x14ac:dyDescent="0.3">
      <c r="A68" s="1" t="str">
        <f ca="1">IFERROR(__xludf.DUMMYFUNCTION("""COMPUTED_VALUE"""),"Governement Polytechnic College Girls, Amritsar")</f>
        <v>Governement Polytechnic College Girls, Amritsar</v>
      </c>
      <c r="B68" s="1" t="str">
        <f ca="1">IFERROR(__xludf.DUMMYFUNCTION("""COMPUTED_VALUE"""),"Amritsar")</f>
        <v>Amritsar</v>
      </c>
      <c r="C68" s="1" t="str">
        <f ca="1">IFERROR(__xludf.DUMMYFUNCTION("""COMPUTED_VALUE"""),"Medical Lab Technology")</f>
        <v>Medical Lab Technology</v>
      </c>
      <c r="D68" s="1" t="str">
        <f ca="1">IFERROR(__xludf.DUMMYFUNCTION("""COMPUTED_VALUE"""),"Raminder Kaur")</f>
        <v>Raminder Kaur</v>
      </c>
      <c r="E68" s="1" t="str">
        <f ca="1">IFERROR(__xludf.DUMMYFUNCTION("""COMPUTED_VALUE"""),"Lecturer")</f>
        <v>Lecturer</v>
      </c>
      <c r="F68" s="1" t="str">
        <f ca="1">IFERROR(__xludf.DUMMYFUNCTION("""COMPUTED_VALUE"""),"Rkkalra70@gmail.com")</f>
        <v>Rkkalra70@gmail.com</v>
      </c>
      <c r="G68" s="1">
        <f ca="1">IFERROR(__xludf.DUMMYFUNCTION("""COMPUTED_VALUE"""),9814288846)</f>
        <v>9814288846</v>
      </c>
    </row>
    <row r="69" spans="1:7" x14ac:dyDescent="0.3">
      <c r="A69" s="1" t="str">
        <f ca="1">IFERROR(__xludf.DUMMYFUNCTION("""COMPUTED_VALUE"""),"Governement Polytechnic College Girls, Amritsar")</f>
        <v>Governement Polytechnic College Girls, Amritsar</v>
      </c>
      <c r="B69" s="1" t="str">
        <f ca="1">IFERROR(__xludf.DUMMYFUNCTION("""COMPUTED_VALUE"""),"Amritsar")</f>
        <v>Amritsar</v>
      </c>
      <c r="C69" s="1" t="str">
        <f ca="1">IFERROR(__xludf.DUMMYFUNCTION("""COMPUTED_VALUE"""),"Modern Office Practice")</f>
        <v>Modern Office Practice</v>
      </c>
      <c r="D69" s="1" t="str">
        <f ca="1">IFERROR(__xludf.DUMMYFUNCTION("""COMPUTED_VALUE"""),"RAVI KUMAR VERMA")</f>
        <v>RAVI KUMAR VERMA</v>
      </c>
      <c r="E69" s="1" t="str">
        <f ca="1">IFERROR(__xludf.DUMMYFUNCTION("""COMPUTED_VALUE"""),"Lecturer")</f>
        <v>Lecturer</v>
      </c>
      <c r="F69" s="1" t="str">
        <f ca="1">IFERROR(__xludf.DUMMYFUNCTION("""COMPUTED_VALUE"""),"Ravi.verma70@punjab.gov.in")</f>
        <v>Ravi.verma70@punjab.gov.in</v>
      </c>
      <c r="G69" s="1"/>
    </row>
    <row r="70" spans="1:7" x14ac:dyDescent="0.3">
      <c r="A70" s="1" t="str">
        <f ca="1">IFERROR(__xludf.DUMMYFUNCTION("""COMPUTED_VALUE"""),"Governement Polytechnic College Girls, Amritsar")</f>
        <v>Governement Polytechnic College Girls, Amritsar</v>
      </c>
      <c r="B70" s="1" t="str">
        <f ca="1">IFERROR(__xludf.DUMMYFUNCTION("""COMPUTED_VALUE"""),"Amritsar")</f>
        <v>Amritsar</v>
      </c>
      <c r="C70" s="1" t="str">
        <f ca="1">IFERROR(__xludf.DUMMYFUNCTION("""COMPUTED_VALUE"""),"Electronics and Communications Engineering")</f>
        <v>Electronics and Communications Engineering</v>
      </c>
      <c r="D70" s="1" t="str">
        <f ca="1">IFERROR(__xludf.DUMMYFUNCTION("""COMPUTED_VALUE"""),"Renuka Dogra")</f>
        <v>Renuka Dogra</v>
      </c>
      <c r="E70" s="1" t="str">
        <f ca="1">IFERROR(__xludf.DUMMYFUNCTION("""COMPUTED_VALUE"""),"Lecturer")</f>
        <v>Lecturer</v>
      </c>
      <c r="F70" s="1" t="str">
        <f ca="1">IFERROR(__xludf.DUMMYFUNCTION("""COMPUTED_VALUE"""),"Dogra_renuka@yahoo.co.in")</f>
        <v>Dogra_renuka@yahoo.co.in</v>
      </c>
      <c r="G70" s="1">
        <f ca="1">IFERROR(__xludf.DUMMYFUNCTION("""COMPUTED_VALUE"""),9501118351)</f>
        <v>9501118351</v>
      </c>
    </row>
    <row r="71" spans="1:7" x14ac:dyDescent="0.3">
      <c r="A71" s="1" t="str">
        <f ca="1">IFERROR(__xludf.DUMMYFUNCTION("""COMPUTED_VALUE"""),"Governement Polytechnic College Girls, Amritsar")</f>
        <v>Governement Polytechnic College Girls, Amritsar</v>
      </c>
      <c r="B71" s="1" t="str">
        <f ca="1">IFERROR(__xludf.DUMMYFUNCTION("""COMPUTED_VALUE"""),"Amritsar")</f>
        <v>Amritsar</v>
      </c>
      <c r="C71" s="1" t="str">
        <f ca="1">IFERROR(__xludf.DUMMYFUNCTION("""COMPUTED_VALUE"""),"Applied Science")</f>
        <v>Applied Science</v>
      </c>
      <c r="D71" s="1" t="str">
        <f ca="1">IFERROR(__xludf.DUMMYFUNCTION("""COMPUTED_VALUE"""),"Sandeep Kaur")</f>
        <v>Sandeep Kaur</v>
      </c>
      <c r="E71" s="1" t="str">
        <f ca="1">IFERROR(__xludf.DUMMYFUNCTION("""COMPUTED_VALUE"""),"HOD")</f>
        <v>HOD</v>
      </c>
      <c r="F71" s="1" t="str">
        <f ca="1">IFERROR(__xludf.DUMMYFUNCTION("""COMPUTED_VALUE"""),"Sandeepkaur.68@punjab.gov.in")</f>
        <v>Sandeepkaur.68@punjab.gov.in</v>
      </c>
      <c r="G71" s="1">
        <f ca="1">IFERROR(__xludf.DUMMYFUNCTION("""COMPUTED_VALUE"""),9815314482)</f>
        <v>9815314482</v>
      </c>
    </row>
    <row r="72" spans="1:7" x14ac:dyDescent="0.3">
      <c r="A72" s="1" t="str">
        <f ca="1">IFERROR(__xludf.DUMMYFUNCTION("""COMPUTED_VALUE"""),"Governement Polytechnic College Girls, Amritsar")</f>
        <v>Governement Polytechnic College Girls, Amritsar</v>
      </c>
      <c r="B72" s="1" t="str">
        <f ca="1">IFERROR(__xludf.DUMMYFUNCTION("""COMPUTED_VALUE"""),"Amritsar")</f>
        <v>Amritsar</v>
      </c>
      <c r="C72" s="1" t="str">
        <f ca="1">IFERROR(__xludf.DUMMYFUNCTION("""COMPUTED_VALUE"""),"Workshop")</f>
        <v>Workshop</v>
      </c>
      <c r="D72" s="1" t="str">
        <f ca="1">IFERROR(__xludf.DUMMYFUNCTION("""COMPUTED_VALUE"""),"Sanjeev Kumar")</f>
        <v>Sanjeev Kumar</v>
      </c>
      <c r="E72" s="1" t="str">
        <f ca="1">IFERROR(__xludf.DUMMYFUNCTION("""COMPUTED_VALUE"""),"Workshop Instructor")</f>
        <v>Workshop Instructor</v>
      </c>
      <c r="F72" s="1" t="str">
        <f ca="1">IFERROR(__xludf.DUMMYFUNCTION("""COMPUTED_VALUE"""),"sanjeevmannat79@gmail.com")</f>
        <v>sanjeevmannat79@gmail.com</v>
      </c>
      <c r="G72" s="1"/>
    </row>
    <row r="73" spans="1:7" x14ac:dyDescent="0.3">
      <c r="A73" s="1" t="str">
        <f ca="1">IFERROR(__xludf.DUMMYFUNCTION("""COMPUTED_VALUE"""),"Governement Polytechnic College Girls, Amritsar")</f>
        <v>Governement Polytechnic College Girls, Amritsar</v>
      </c>
      <c r="B73" s="1" t="str">
        <f ca="1">IFERROR(__xludf.DUMMYFUNCTION("""COMPUTED_VALUE"""),"Amritsar")</f>
        <v>Amritsar</v>
      </c>
      <c r="C73" s="1" t="str">
        <f ca="1">IFERROR(__xludf.DUMMYFUNCTION("""COMPUTED_VALUE"""),"Electronics and Communications Engineering")</f>
        <v>Electronics and Communications Engineering</v>
      </c>
      <c r="D73" s="1" t="str">
        <f ca="1">IFERROR(__xludf.DUMMYFUNCTION("""COMPUTED_VALUE"""),"Sarbjit Singh")</f>
        <v>Sarbjit Singh</v>
      </c>
      <c r="E73" s="1" t="str">
        <f ca="1">IFERROR(__xludf.DUMMYFUNCTION("""COMPUTED_VALUE"""),"Lecturer")</f>
        <v>Lecturer</v>
      </c>
      <c r="F73" s="1" t="str">
        <f ca="1">IFERROR(__xludf.DUMMYFUNCTION("""COMPUTED_VALUE"""),"sarb.aus@gmail.com")</f>
        <v>sarb.aus@gmail.com</v>
      </c>
      <c r="G73" s="1"/>
    </row>
    <row r="74" spans="1:7" x14ac:dyDescent="0.3">
      <c r="A74" s="1" t="str">
        <f ca="1">IFERROR(__xludf.DUMMYFUNCTION("""COMPUTED_VALUE"""),"Governement Polytechnic College Girls, Amritsar")</f>
        <v>Governement Polytechnic College Girls, Amritsar</v>
      </c>
      <c r="B74" s="1" t="str">
        <f ca="1">IFERROR(__xludf.DUMMYFUNCTION("""COMPUTED_VALUE"""),"Amritsar")</f>
        <v>Amritsar</v>
      </c>
      <c r="C74" s="1" t="str">
        <f ca="1">IFERROR(__xludf.DUMMYFUNCTION("""COMPUTED_VALUE"""),"Medical Lab Technology")</f>
        <v>Medical Lab Technology</v>
      </c>
      <c r="D74" s="1" t="str">
        <f ca="1">IFERROR(__xludf.DUMMYFUNCTION("""COMPUTED_VALUE"""),"Sheetal Abrol")</f>
        <v>Sheetal Abrol</v>
      </c>
      <c r="E74" s="1" t="str">
        <f ca="1">IFERROR(__xludf.DUMMYFUNCTION("""COMPUTED_VALUE"""),"Lecturer")</f>
        <v>Lecturer</v>
      </c>
      <c r="F74" s="1" t="str">
        <f ca="1">IFERROR(__xludf.DUMMYFUNCTION("""COMPUTED_VALUE"""),"sheetal_abrol@yahoo.com")</f>
        <v>sheetal_abrol@yahoo.com</v>
      </c>
      <c r="G74" s="1"/>
    </row>
    <row r="75" spans="1:7" x14ac:dyDescent="0.3">
      <c r="A75" s="1" t="str">
        <f ca="1">IFERROR(__xludf.DUMMYFUNCTION("""COMPUTED_VALUE"""),"Governement Polytechnic College Girls, Amritsar")</f>
        <v>Governement Polytechnic College Girls, Amritsar</v>
      </c>
      <c r="B75" s="1" t="str">
        <f ca="1">IFERROR(__xludf.DUMMYFUNCTION("""COMPUTED_VALUE"""),"Amritsar")</f>
        <v>Amritsar</v>
      </c>
      <c r="C75" s="1" t="str">
        <f ca="1">IFERROR(__xludf.DUMMYFUNCTION("""COMPUTED_VALUE"""),"Computer Science and Engineering")</f>
        <v>Computer Science and Engineering</v>
      </c>
      <c r="D75" s="1" t="str">
        <f ca="1">IFERROR(__xludf.DUMMYFUNCTION("""COMPUTED_VALUE"""),"SUMANPREET KAUR")</f>
        <v>SUMANPREET KAUR</v>
      </c>
      <c r="E75" s="1" t="str">
        <f ca="1">IFERROR(__xludf.DUMMYFUNCTION("""COMPUTED_VALUE"""),"Sr. Lecturer")</f>
        <v>Sr. Lecturer</v>
      </c>
      <c r="F75" s="1" t="str">
        <f ca="1">IFERROR(__xludf.DUMMYFUNCTION("""COMPUTED_VALUE"""),"Suneet.suman86@gmail.com")</f>
        <v>Suneet.suman86@gmail.com</v>
      </c>
      <c r="G75" s="1">
        <f ca="1">IFERROR(__xludf.DUMMYFUNCTION("""COMPUTED_VALUE"""),9779927773)</f>
        <v>9779927773</v>
      </c>
    </row>
    <row r="76" spans="1:7" x14ac:dyDescent="0.3">
      <c r="A76" s="1" t="str">
        <f ca="1">IFERROR(__xludf.DUMMYFUNCTION("""COMPUTED_VALUE"""),"Governement Polytechnic College Girls, Amritsar")</f>
        <v>Governement Polytechnic College Girls, Amritsar</v>
      </c>
      <c r="B76" s="1" t="str">
        <f ca="1">IFERROR(__xludf.DUMMYFUNCTION("""COMPUTED_VALUE"""),"Amritsar")</f>
        <v>Amritsar</v>
      </c>
      <c r="C76" s="1" t="str">
        <f ca="1">IFERROR(__xludf.DUMMYFUNCTION("""COMPUTED_VALUE"""),"Electronics and Communications Engineering")</f>
        <v>Electronics and Communications Engineering</v>
      </c>
      <c r="D76" s="1" t="str">
        <f ca="1">IFERROR(__xludf.DUMMYFUNCTION("""COMPUTED_VALUE"""),"Sunny Mehta")</f>
        <v>Sunny Mehta</v>
      </c>
      <c r="E76" s="1" t="str">
        <f ca="1">IFERROR(__xludf.DUMMYFUNCTION("""COMPUTED_VALUE"""),"Lecturer")</f>
        <v>Lecturer</v>
      </c>
      <c r="F76" s="1" t="str">
        <f ca="1">IFERROR(__xludf.DUMMYFUNCTION("""COMPUTED_VALUE"""),"sunnygpcg@gmail.com")</f>
        <v>sunnygpcg@gmail.com</v>
      </c>
      <c r="G76" s="1">
        <f ca="1">IFERROR(__xludf.DUMMYFUNCTION("""COMPUTED_VALUE"""),8054945494)</f>
        <v>8054945494</v>
      </c>
    </row>
    <row r="77" spans="1:7" x14ac:dyDescent="0.3">
      <c r="A77" s="1" t="str">
        <f ca="1">IFERROR(__xludf.DUMMYFUNCTION("""COMPUTED_VALUE"""),"PITT, Amritsar")</f>
        <v>PITT, Amritsar</v>
      </c>
      <c r="B77" s="1" t="str">
        <f ca="1">IFERROR(__xludf.DUMMYFUNCTION("""COMPUTED_VALUE"""),"Amritsar")</f>
        <v>Amritsar</v>
      </c>
      <c r="C77" s="1" t="str">
        <f ca="1">IFERROR(__xludf.DUMMYFUNCTION("""COMPUTED_VALUE"""),"Textile Design")</f>
        <v>Textile Design</v>
      </c>
      <c r="D77" s="1" t="str">
        <f ca="1">IFERROR(__xludf.DUMMYFUNCTION("""COMPUTED_VALUE"""),"Amrik Singh Rakhra")</f>
        <v>Amrik Singh Rakhra</v>
      </c>
      <c r="E77" s="1" t="str">
        <f ca="1">IFERROR(__xludf.DUMMYFUNCTION("""COMPUTED_VALUE"""),"HOD")</f>
        <v>HOD</v>
      </c>
      <c r="F77" s="1" t="str">
        <f ca="1">IFERROR(__xludf.DUMMYFUNCTION("""COMPUTED_VALUE"""),"amriksingh7835@gmail.com")</f>
        <v>amriksingh7835@gmail.com</v>
      </c>
      <c r="G77" s="1">
        <f ca="1">IFERROR(__xludf.DUMMYFUNCTION("""COMPUTED_VALUE"""),9815550104)</f>
        <v>9815550104</v>
      </c>
    </row>
    <row r="78" spans="1:7" x14ac:dyDescent="0.3">
      <c r="A78" s="1" t="str">
        <f ca="1">IFERROR(__xludf.DUMMYFUNCTION("""COMPUTED_VALUE"""),"PITT, Amritsar")</f>
        <v>PITT, Amritsar</v>
      </c>
      <c r="B78" s="1" t="str">
        <f ca="1">IFERROR(__xludf.DUMMYFUNCTION("""COMPUTED_VALUE"""),"Amritsar")</f>
        <v>Amritsar</v>
      </c>
      <c r="C78" s="1" t="str">
        <f ca="1">IFERROR(__xludf.DUMMYFUNCTION("""COMPUTED_VALUE"""),"Textile Design")</f>
        <v>Textile Design</v>
      </c>
      <c r="D78" s="1" t="str">
        <f ca="1">IFERROR(__xludf.DUMMYFUNCTION("""COMPUTED_VALUE"""),"Jasvinder singh")</f>
        <v>Jasvinder singh</v>
      </c>
      <c r="E78" s="1" t="str">
        <f ca="1">IFERROR(__xludf.DUMMYFUNCTION("""COMPUTED_VALUE"""),"Lecturer")</f>
        <v>Lecturer</v>
      </c>
      <c r="F78" s="1" t="str">
        <f ca="1">IFERROR(__xludf.DUMMYFUNCTION("""COMPUTED_VALUE"""),"jjasvindersingh8@gmail.com")</f>
        <v>jjasvindersingh8@gmail.com</v>
      </c>
      <c r="G78" s="1">
        <f ca="1">IFERROR(__xludf.DUMMYFUNCTION("""COMPUTED_VALUE"""),9815607678)</f>
        <v>9815607678</v>
      </c>
    </row>
    <row r="79" spans="1:7" x14ac:dyDescent="0.3">
      <c r="A79" s="1" t="str">
        <f ca="1">IFERROR(__xludf.DUMMYFUNCTION("""COMPUTED_VALUE"""),"PITT, Amritsar")</f>
        <v>PITT, Amritsar</v>
      </c>
      <c r="B79" s="1" t="str">
        <f ca="1">IFERROR(__xludf.DUMMYFUNCTION("""COMPUTED_VALUE"""),"Amritsar")</f>
        <v>Amritsar</v>
      </c>
      <c r="C79" s="1" t="str">
        <f ca="1">IFERROR(__xludf.DUMMYFUNCTION("""COMPUTED_VALUE"""),"Textile Technology")</f>
        <v>Textile Technology</v>
      </c>
      <c r="D79" s="1" t="str">
        <f ca="1">IFERROR(__xludf.DUMMYFUNCTION("""COMPUTED_VALUE"""),"Mrs Ramanpreet Kaur")</f>
        <v>Mrs Ramanpreet Kaur</v>
      </c>
      <c r="E79" s="1" t="str">
        <f ca="1">IFERROR(__xludf.DUMMYFUNCTION("""COMPUTED_VALUE"""),"Lecturer")</f>
        <v>Lecturer</v>
      </c>
      <c r="F79" s="1" t="str">
        <f ca="1">IFERROR(__xludf.DUMMYFUNCTION("""COMPUTED_VALUE"""),"Raman.daisy2014@gmail.com")</f>
        <v>Raman.daisy2014@gmail.com</v>
      </c>
      <c r="G79" s="1">
        <f ca="1">IFERROR(__xludf.DUMMYFUNCTION("""COMPUTED_VALUE"""),9501018495)</f>
        <v>9501018495</v>
      </c>
    </row>
    <row r="80" spans="1:7" x14ac:dyDescent="0.3">
      <c r="A80" s="1" t="str">
        <f ca="1">IFERROR(__xludf.DUMMYFUNCTION("""COMPUTED_VALUE"""),"PITT, Amritsar")</f>
        <v>PITT, Amritsar</v>
      </c>
      <c r="B80" s="1" t="str">
        <f ca="1">IFERROR(__xludf.DUMMYFUNCTION("""COMPUTED_VALUE"""),"Amritsar")</f>
        <v>Amritsar</v>
      </c>
      <c r="C80" s="1" t="str">
        <f ca="1">IFERROR(__xludf.DUMMYFUNCTION("""COMPUTED_VALUE"""),"Textile Design")</f>
        <v>Textile Design</v>
      </c>
      <c r="D80" s="1" t="str">
        <f ca="1">IFERROR(__xludf.DUMMYFUNCTION("""COMPUTED_VALUE"""),"Mrs Sukhwinder kaur")</f>
        <v>Mrs Sukhwinder kaur</v>
      </c>
      <c r="E80" s="1" t="str">
        <f ca="1">IFERROR(__xludf.DUMMYFUNCTION("""COMPUTED_VALUE"""),"Foreman Instructor")</f>
        <v>Foreman Instructor</v>
      </c>
      <c r="F80" s="1" t="str">
        <f ca="1">IFERROR(__xludf.DUMMYFUNCTION("""COMPUTED_VALUE"""),"Sukhwinder3864@gmail.com ")</f>
        <v xml:space="preserve">Sukhwinder3864@gmail.com </v>
      </c>
      <c r="G80" s="1">
        <f ca="1">IFERROR(__xludf.DUMMYFUNCTION("""COMPUTED_VALUE"""),7888732046)</f>
        <v>7888732046</v>
      </c>
    </row>
    <row r="81" spans="1:7" x14ac:dyDescent="0.3">
      <c r="A81" s="1" t="str">
        <f ca="1">IFERROR(__xludf.DUMMYFUNCTION("""COMPUTED_VALUE"""),"PITT, Amritsar")</f>
        <v>PITT, Amritsar</v>
      </c>
      <c r="B81" s="1" t="str">
        <f ca="1">IFERROR(__xludf.DUMMYFUNCTION("""COMPUTED_VALUE"""),"Amritsar")</f>
        <v>Amritsar</v>
      </c>
      <c r="C81" s="1" t="str">
        <f ca="1">IFERROR(__xludf.DUMMYFUNCTION("""COMPUTED_VALUE"""),"Textile Technology")</f>
        <v>Textile Technology</v>
      </c>
      <c r="D81" s="1" t="str">
        <f ca="1">IFERROR(__xludf.DUMMYFUNCTION("""COMPUTED_VALUE"""),"Mrs Vandana")</f>
        <v>Mrs Vandana</v>
      </c>
      <c r="E81" s="1" t="str">
        <f ca="1">IFERROR(__xludf.DUMMYFUNCTION("""COMPUTED_VALUE"""),"Lecturer")</f>
        <v>Lecturer</v>
      </c>
      <c r="F81" s="1" t="str">
        <f ca="1">IFERROR(__xludf.DUMMYFUNCTION("""COMPUTED_VALUE"""),"vandanakhullar01@gmail.com")</f>
        <v>vandanakhullar01@gmail.com</v>
      </c>
      <c r="G81" s="1">
        <f ca="1">IFERROR(__xludf.DUMMYFUNCTION("""COMPUTED_VALUE"""),9417951508)</f>
        <v>9417951508</v>
      </c>
    </row>
    <row r="82" spans="1:7" x14ac:dyDescent="0.3">
      <c r="A82" s="1" t="str">
        <f ca="1">IFERROR(__xludf.DUMMYFUNCTION("""COMPUTED_VALUE"""),"PITT, Amritsar")</f>
        <v>PITT, Amritsar</v>
      </c>
      <c r="B82" s="1" t="str">
        <f ca="1">IFERROR(__xludf.DUMMYFUNCTION("""COMPUTED_VALUE"""),"Amritsar")</f>
        <v>Amritsar</v>
      </c>
      <c r="C82" s="1" t="str">
        <f ca="1">IFERROR(__xludf.DUMMYFUNCTION("""COMPUTED_VALUE"""),"Textile Design")</f>
        <v>Textile Design</v>
      </c>
      <c r="D82" s="1" t="str">
        <f ca="1">IFERROR(__xludf.DUMMYFUNCTION("""COMPUTED_VALUE"""),"Naresh kumar")</f>
        <v>Naresh kumar</v>
      </c>
      <c r="E82" s="1" t="str">
        <f ca="1">IFERROR(__xludf.DUMMYFUNCTION("""COMPUTED_VALUE"""),"Lecturer")</f>
        <v>Lecturer</v>
      </c>
      <c r="F82" s="1" t="str">
        <f ca="1">IFERROR(__xludf.DUMMYFUNCTION("""COMPUTED_VALUE"""),"nareshkhindri@gmail.com")</f>
        <v>nareshkhindri@gmail.com</v>
      </c>
      <c r="G82" s="1">
        <f ca="1">IFERROR(__xludf.DUMMYFUNCTION("""COMPUTED_VALUE"""),9988860951)</f>
        <v>9988860951</v>
      </c>
    </row>
    <row r="83" spans="1:7" x14ac:dyDescent="0.3">
      <c r="A83" s="1" t="str">
        <f ca="1">IFERROR(__xludf.DUMMYFUNCTION("""COMPUTED_VALUE"""),"PITT, Amritsar")</f>
        <v>PITT, Amritsar</v>
      </c>
      <c r="B83" s="1" t="str">
        <f ca="1">IFERROR(__xludf.DUMMYFUNCTION("""COMPUTED_VALUE"""),"Amritsar")</f>
        <v>Amritsar</v>
      </c>
      <c r="C83" s="1" t="str">
        <f ca="1">IFERROR(__xludf.DUMMYFUNCTION("""COMPUTED_VALUE"""),"Textile Technology")</f>
        <v>Textile Technology</v>
      </c>
      <c r="D83" s="1" t="str">
        <f ca="1">IFERROR(__xludf.DUMMYFUNCTION("""COMPUTED_VALUE"""),"Sh  Suresh gandhi")</f>
        <v>Sh  Suresh gandhi</v>
      </c>
      <c r="E83" s="1" t="str">
        <f ca="1">IFERROR(__xludf.DUMMYFUNCTION("""COMPUTED_VALUE"""),"Lecturer")</f>
        <v>Lecturer</v>
      </c>
      <c r="F83" s="1" t="str">
        <f ca="1">IFERROR(__xludf.DUMMYFUNCTION("""COMPUTED_VALUE"""),"suresh0897@gmail.com,")</f>
        <v>suresh0897@gmail.com,</v>
      </c>
      <c r="G83" s="1">
        <f ca="1">IFERROR(__xludf.DUMMYFUNCTION("""COMPUTED_VALUE"""),9888767412)</f>
        <v>9888767412</v>
      </c>
    </row>
    <row r="84" spans="1:7" x14ac:dyDescent="0.3">
      <c r="A84" s="1" t="str">
        <f ca="1">IFERROR(__xludf.DUMMYFUNCTION("""COMPUTED_VALUE"""),"PITT, Amritsar")</f>
        <v>PITT, Amritsar</v>
      </c>
      <c r="B84" s="1" t="str">
        <f ca="1">IFERROR(__xludf.DUMMYFUNCTION("""COMPUTED_VALUE"""),"Amritsar")</f>
        <v>Amritsar</v>
      </c>
      <c r="C84" s="1" t="str">
        <f ca="1">IFERROR(__xludf.DUMMYFUNCTION("""COMPUTED_VALUE"""),"Textile Technology")</f>
        <v>Textile Technology</v>
      </c>
      <c r="D84" s="1" t="str">
        <f ca="1">IFERROR(__xludf.DUMMYFUNCTION("""COMPUTED_VALUE"""),"Sh Gagandeep sharma")</f>
        <v>Sh Gagandeep sharma</v>
      </c>
      <c r="E84" s="1" t="str">
        <f ca="1">IFERROR(__xludf.DUMMYFUNCTION("""COMPUTED_VALUE"""),"Lecturer")</f>
        <v>Lecturer</v>
      </c>
      <c r="F84" s="1" t="str">
        <f ca="1">IFERROR(__xludf.DUMMYFUNCTION("""COMPUTED_VALUE"""),"Scorpiogagan1986@gmail.com")</f>
        <v>Scorpiogagan1986@gmail.com</v>
      </c>
      <c r="G84" s="1">
        <f ca="1">IFERROR(__xludf.DUMMYFUNCTION("""COMPUTED_VALUE"""),7009468457)</f>
        <v>7009468457</v>
      </c>
    </row>
    <row r="85" spans="1:7" x14ac:dyDescent="0.3">
      <c r="A85" s="1" t="str">
        <f ca="1">IFERROR(__xludf.DUMMYFUNCTION("""COMPUTED_VALUE"""),"SBAS GPC Badbar")</f>
        <v>SBAS GPC Badbar</v>
      </c>
      <c r="B85" s="1" t="str">
        <f ca="1">IFERROR(__xludf.DUMMYFUNCTION("""COMPUTED_VALUE"""),"Barnala")</f>
        <v>Barnala</v>
      </c>
      <c r="C85" s="1" t="str">
        <f ca="1">IFERROR(__xludf.DUMMYFUNCTION("""COMPUTED_VALUE"""),"Applied Science")</f>
        <v>Applied Science</v>
      </c>
      <c r="D85" s="1" t="str">
        <f ca="1">IFERROR(__xludf.DUMMYFUNCTION("""COMPUTED_VALUE"""),"KRISHAN SINGH")</f>
        <v>KRISHAN SINGH</v>
      </c>
      <c r="E85" s="1" t="str">
        <f ca="1">IFERROR(__xludf.DUMMYFUNCTION("""COMPUTED_VALUE"""),"HOD")</f>
        <v>HOD</v>
      </c>
      <c r="F85" s="1" t="str">
        <f ca="1">IFERROR(__xludf.DUMMYFUNCTION("""COMPUTED_VALUE"""),"kslongowal23@gmail.com")</f>
        <v>kslongowal23@gmail.com</v>
      </c>
      <c r="G85" s="1">
        <f ca="1">IFERROR(__xludf.DUMMYFUNCTION("""COMPUTED_VALUE"""),9888777238)</f>
        <v>9888777238</v>
      </c>
    </row>
    <row r="86" spans="1:7" x14ac:dyDescent="0.3">
      <c r="A86" s="1" t="str">
        <f ca="1">IFERROR(__xludf.DUMMYFUNCTION("""COMPUTED_VALUE"""),"SBAS GPC Badbar")</f>
        <v>SBAS GPC Badbar</v>
      </c>
      <c r="B86" s="1" t="str">
        <f ca="1">IFERROR(__xludf.DUMMYFUNCTION("""COMPUTED_VALUE"""),"Barnala")</f>
        <v>Barnala</v>
      </c>
      <c r="C86" s="1" t="str">
        <f ca="1">IFERROR(__xludf.DUMMYFUNCTION("""COMPUTED_VALUE"""),"Principal")</f>
        <v>Principal</v>
      </c>
      <c r="D86" s="1" t="str">
        <f ca="1">IFERROR(__xludf.DUMMYFUNCTION("""COMPUTED_VALUE"""),"SANDEEP KUMAR")</f>
        <v>SANDEEP KUMAR</v>
      </c>
      <c r="E86" s="1" t="str">
        <f ca="1">IFERROR(__xludf.DUMMYFUNCTION("""COMPUTED_VALUE"""),"Principal")</f>
        <v>Principal</v>
      </c>
      <c r="F86" s="1" t="str">
        <f ca="1">IFERROR(__xludf.DUMMYFUNCTION("""COMPUTED_VALUE"""),"tanudhuri@gmail.com")</f>
        <v>tanudhuri@gmail.com</v>
      </c>
      <c r="G86" s="1">
        <f ca="1">IFERROR(__xludf.DUMMYFUNCTION("""COMPUTED_VALUE"""),9914827134)</f>
        <v>9914827134</v>
      </c>
    </row>
    <row r="87" spans="1:7" x14ac:dyDescent="0.3">
      <c r="A87" s="1" t="str">
        <f ca="1">IFERROR(__xludf.DUMMYFUNCTION("""COMPUTED_VALUE"""),"SBAS GPC Badbar")</f>
        <v>SBAS GPC Badbar</v>
      </c>
      <c r="B87" s="1" t="str">
        <f ca="1">IFERROR(__xludf.DUMMYFUNCTION("""COMPUTED_VALUE"""),"Barnala")</f>
        <v>Barnala</v>
      </c>
      <c r="C87" s="1" t="str">
        <f ca="1">IFERROR(__xludf.DUMMYFUNCTION("""COMPUTED_VALUE"""),"Applied Science")</f>
        <v>Applied Science</v>
      </c>
      <c r="D87" s="1" t="str">
        <f ca="1">IFERROR(__xludf.DUMMYFUNCTION("""COMPUTED_VALUE"""),"LAKHVINDER SINGH")</f>
        <v>LAKHVINDER SINGH</v>
      </c>
      <c r="E87" s="1" t="str">
        <f ca="1">IFERROR(__xludf.DUMMYFUNCTION("""COMPUTED_VALUE"""),"Lecturer")</f>
        <v>Lecturer</v>
      </c>
      <c r="F87" s="1" t="str">
        <f ca="1">IFERROR(__xludf.DUMMYFUNCTION("""COMPUTED_VALUE"""),"luckyjnu89@gmail.com")</f>
        <v>luckyjnu89@gmail.com</v>
      </c>
      <c r="G87" s="1">
        <f ca="1">IFERROR(__xludf.DUMMYFUNCTION("""COMPUTED_VALUE"""),8427204325)</f>
        <v>8427204325</v>
      </c>
    </row>
    <row r="88" spans="1:7" x14ac:dyDescent="0.3">
      <c r="A88" s="1" t="str">
        <f ca="1">IFERROR(__xludf.DUMMYFUNCTION("""COMPUTED_VALUE"""),"SBAS GPC Badbar")</f>
        <v>SBAS GPC Badbar</v>
      </c>
      <c r="B88" s="1" t="str">
        <f ca="1">IFERROR(__xludf.DUMMYFUNCTION("""COMPUTED_VALUE"""),"Barnala")</f>
        <v>Barnala</v>
      </c>
      <c r="C88" s="1" t="str">
        <f ca="1">IFERROR(__xludf.DUMMYFUNCTION("""COMPUTED_VALUE"""),"Applied Science")</f>
        <v>Applied Science</v>
      </c>
      <c r="D88" s="1" t="str">
        <f ca="1">IFERROR(__xludf.DUMMYFUNCTION("""COMPUTED_VALUE"""),"MONICA JAGGI")</f>
        <v>MONICA JAGGI</v>
      </c>
      <c r="E88" s="1" t="str">
        <f ca="1">IFERROR(__xludf.DUMMYFUNCTION("""COMPUTED_VALUE"""),"Sr. Lecturer")</f>
        <v>Sr. Lecturer</v>
      </c>
      <c r="F88" s="1" t="str">
        <f ca="1">IFERROR(__xludf.DUMMYFUNCTION("""COMPUTED_VALUE"""),"monica0201@gmail.com")</f>
        <v>monica0201@gmail.com</v>
      </c>
      <c r="G88" s="1">
        <f ca="1">IFERROR(__xludf.DUMMYFUNCTION("""COMPUTED_VALUE"""),9501002402)</f>
        <v>9501002402</v>
      </c>
    </row>
    <row r="89" spans="1:7" x14ac:dyDescent="0.3">
      <c r="A89" s="1" t="str">
        <f ca="1">IFERROR(__xludf.DUMMYFUNCTION("""COMPUTED_VALUE"""),"SBAS GPC Badbar")</f>
        <v>SBAS GPC Badbar</v>
      </c>
      <c r="B89" s="1" t="str">
        <f ca="1">IFERROR(__xludf.DUMMYFUNCTION("""COMPUTED_VALUE"""),"Barnala")</f>
        <v>Barnala</v>
      </c>
      <c r="C89" s="1" t="str">
        <f ca="1">IFERROR(__xludf.DUMMYFUNCTION("""COMPUTED_VALUE"""),"Applied Science")</f>
        <v>Applied Science</v>
      </c>
      <c r="D89" s="1" t="str">
        <f ca="1">IFERROR(__xludf.DUMMYFUNCTION("""COMPUTED_VALUE"""),"MOHD. ANWAR HUSAIN KHAN")</f>
        <v>MOHD. ANWAR HUSAIN KHAN</v>
      </c>
      <c r="E89" s="1" t="str">
        <f ca="1">IFERROR(__xludf.DUMMYFUNCTION("""COMPUTED_VALUE"""),"Lecturer")</f>
        <v>Lecturer</v>
      </c>
      <c r="F89" s="1" t="str">
        <f ca="1">IFERROR(__xludf.DUMMYFUNCTION("""COMPUTED_VALUE"""),"whynotanwar@gmail.com")</f>
        <v>whynotanwar@gmail.com</v>
      </c>
      <c r="G89" s="1">
        <f ca="1">IFERROR(__xludf.DUMMYFUNCTION("""COMPUTED_VALUE"""),7717503004)</f>
        <v>7717503004</v>
      </c>
    </row>
    <row r="90" spans="1:7" x14ac:dyDescent="0.3">
      <c r="A90" s="1" t="str">
        <f ca="1">IFERROR(__xludf.DUMMYFUNCTION("""COMPUTED_VALUE"""),"SBAS GPC Badbar")</f>
        <v>SBAS GPC Badbar</v>
      </c>
      <c r="B90" s="1" t="str">
        <f ca="1">IFERROR(__xludf.DUMMYFUNCTION("""COMPUTED_VALUE"""),"Barnala")</f>
        <v>Barnala</v>
      </c>
      <c r="C90" s="1" t="str">
        <f ca="1">IFERROR(__xludf.DUMMYFUNCTION("""COMPUTED_VALUE"""),"Computer Science and Engineering")</f>
        <v>Computer Science and Engineering</v>
      </c>
      <c r="D90" s="1" t="str">
        <f ca="1">IFERROR(__xludf.DUMMYFUNCTION("""COMPUTED_VALUE"""),"ANURADHA RANI")</f>
        <v>ANURADHA RANI</v>
      </c>
      <c r="E90" s="1" t="str">
        <f ca="1">IFERROR(__xludf.DUMMYFUNCTION("""COMPUTED_VALUE"""),"Sr. Lecturer")</f>
        <v>Sr. Lecturer</v>
      </c>
      <c r="F90" s="1" t="str">
        <f ca="1">IFERROR(__xludf.DUMMYFUNCTION("""COMPUTED_VALUE"""),"anuradha.bgiet@gmail.com")</f>
        <v>anuradha.bgiet@gmail.com</v>
      </c>
      <c r="G90" s="1">
        <f ca="1">IFERROR(__xludf.DUMMYFUNCTION("""COMPUTED_VALUE"""),9478611535)</f>
        <v>9478611535</v>
      </c>
    </row>
    <row r="91" spans="1:7" x14ac:dyDescent="0.3">
      <c r="A91" s="1" t="str">
        <f ca="1">IFERROR(__xludf.DUMMYFUNCTION("""COMPUTED_VALUE"""),"SBAS GPC Badbar")</f>
        <v>SBAS GPC Badbar</v>
      </c>
      <c r="B91" s="1" t="str">
        <f ca="1">IFERROR(__xludf.DUMMYFUNCTION("""COMPUTED_VALUE"""),"Barnala")</f>
        <v>Barnala</v>
      </c>
      <c r="C91" s="1" t="str">
        <f ca="1">IFERROR(__xludf.DUMMYFUNCTION("""COMPUTED_VALUE"""),"Computer Science and Engineering")</f>
        <v>Computer Science and Engineering</v>
      </c>
      <c r="D91" s="1" t="str">
        <f ca="1">IFERROR(__xludf.DUMMYFUNCTION("""COMPUTED_VALUE"""),"TARANJIT SINGH AULAKH")</f>
        <v>TARANJIT SINGH AULAKH</v>
      </c>
      <c r="E91" s="1" t="str">
        <f ca="1">IFERROR(__xludf.DUMMYFUNCTION("""COMPUTED_VALUE"""),"Lecturer")</f>
        <v>Lecturer</v>
      </c>
      <c r="F91" s="1" t="str">
        <f ca="1">IFERROR(__xludf.DUMMYFUNCTION("""COMPUTED_VALUE"""),"taranaulakh@gmail.com")</f>
        <v>taranaulakh@gmail.com</v>
      </c>
      <c r="G91" s="1">
        <f ca="1">IFERROR(__xludf.DUMMYFUNCTION("""COMPUTED_VALUE"""),8427600183)</f>
        <v>8427600183</v>
      </c>
    </row>
    <row r="92" spans="1:7" x14ac:dyDescent="0.3">
      <c r="A92" s="1" t="str">
        <f ca="1">IFERROR(__xludf.DUMMYFUNCTION("""COMPUTED_VALUE"""),"SBAS GPC Badbar")</f>
        <v>SBAS GPC Badbar</v>
      </c>
      <c r="B92" s="1" t="str">
        <f ca="1">IFERROR(__xludf.DUMMYFUNCTION("""COMPUTED_VALUE"""),"Barnala")</f>
        <v>Barnala</v>
      </c>
      <c r="C92" s="1" t="str">
        <f ca="1">IFERROR(__xludf.DUMMYFUNCTION("""COMPUTED_VALUE"""),"Electrical Engineering")</f>
        <v>Electrical Engineering</v>
      </c>
      <c r="D92" s="1" t="str">
        <f ca="1">IFERROR(__xludf.DUMMYFUNCTION("""COMPUTED_VALUE"""),"JASVIR SINGH GIL")</f>
        <v>JASVIR SINGH GIL</v>
      </c>
      <c r="E92" s="1" t="str">
        <f ca="1">IFERROR(__xludf.DUMMYFUNCTION("""COMPUTED_VALUE"""),"HOD")</f>
        <v>HOD</v>
      </c>
      <c r="F92" s="1" t="str">
        <f ca="1">IFERROR(__xludf.DUMMYFUNCTION("""COMPUTED_VALUE"""),"gilljs11000@gmail.com")</f>
        <v>gilljs11000@gmail.com</v>
      </c>
      <c r="G92" s="1">
        <f ca="1">IFERROR(__xludf.DUMMYFUNCTION("""COMPUTED_VALUE"""),9501511000)</f>
        <v>9501511000</v>
      </c>
    </row>
    <row r="93" spans="1:7" x14ac:dyDescent="0.3">
      <c r="A93" s="1" t="str">
        <f ca="1">IFERROR(__xludf.DUMMYFUNCTION("""COMPUTED_VALUE"""),"SBAS GPC Badbar")</f>
        <v>SBAS GPC Badbar</v>
      </c>
      <c r="B93" s="1" t="str">
        <f ca="1">IFERROR(__xludf.DUMMYFUNCTION("""COMPUTED_VALUE"""),"Barnala")</f>
        <v>Barnala</v>
      </c>
      <c r="C93" s="1" t="str">
        <f ca="1">IFERROR(__xludf.DUMMYFUNCTION("""COMPUTED_VALUE"""),"Electronics and Communications Engineering")</f>
        <v>Electronics and Communications Engineering</v>
      </c>
      <c r="D93" s="1" t="str">
        <f ca="1">IFERROR(__xludf.DUMMYFUNCTION("""COMPUTED_VALUE"""),"AMANDEEP KAUR")</f>
        <v>AMANDEEP KAUR</v>
      </c>
      <c r="E93" s="1" t="str">
        <f ca="1">IFERROR(__xludf.DUMMYFUNCTION("""COMPUTED_VALUE"""),"Sr. Lecturer")</f>
        <v>Sr. Lecturer</v>
      </c>
      <c r="F93" s="1" t="str">
        <f ca="1">IFERROR(__xludf.DUMMYFUNCTION("""COMPUTED_VALUE"""),"eceamandeepkaur86@gmail.com")</f>
        <v>eceamandeepkaur86@gmail.com</v>
      </c>
      <c r="G93" s="1">
        <f ca="1">IFERROR(__xludf.DUMMYFUNCTION("""COMPUTED_VALUE"""),7973047136)</f>
        <v>7973047136</v>
      </c>
    </row>
    <row r="94" spans="1:7" x14ac:dyDescent="0.3">
      <c r="A94" s="1" t="str">
        <f ca="1">IFERROR(__xludf.DUMMYFUNCTION("""COMPUTED_VALUE"""),"SBAS GPC Badbar")</f>
        <v>SBAS GPC Badbar</v>
      </c>
      <c r="B94" s="1" t="str">
        <f ca="1">IFERROR(__xludf.DUMMYFUNCTION("""COMPUTED_VALUE"""),"Barnala")</f>
        <v>Barnala</v>
      </c>
      <c r="C94" s="1" t="str">
        <f ca="1">IFERROR(__xludf.DUMMYFUNCTION("""COMPUTED_VALUE"""),"Electronics and Communications Engineering")</f>
        <v>Electronics and Communications Engineering</v>
      </c>
      <c r="D94" s="1" t="str">
        <f ca="1">IFERROR(__xludf.DUMMYFUNCTION("""COMPUTED_VALUE"""),"ANKUSH GOYAL")</f>
        <v>ANKUSH GOYAL</v>
      </c>
      <c r="E94" s="1" t="str">
        <f ca="1">IFERROR(__xludf.DUMMYFUNCTION("""COMPUTED_VALUE"""),"Lecturer")</f>
        <v>Lecturer</v>
      </c>
      <c r="F94" s="1" t="str">
        <f ca="1">IFERROR(__xludf.DUMMYFUNCTION("""COMPUTED_VALUE"""),"ankushes@gmail.com/goyal.ankush@punjab.gov.in")</f>
        <v>ankushes@gmail.com/goyal.ankush@punjab.gov.in</v>
      </c>
      <c r="G94" s="1">
        <f ca="1">IFERROR(__xludf.DUMMYFUNCTION("""COMPUTED_VALUE"""),9465354108)</f>
        <v>9465354108</v>
      </c>
    </row>
    <row r="95" spans="1:7" x14ac:dyDescent="0.3">
      <c r="A95" s="1" t="str">
        <f ca="1">IFERROR(__xludf.DUMMYFUNCTION("""COMPUTED_VALUE"""),"SBAS GPC Badbar")</f>
        <v>SBAS GPC Badbar</v>
      </c>
      <c r="B95" s="1" t="str">
        <f ca="1">IFERROR(__xludf.DUMMYFUNCTION("""COMPUTED_VALUE"""),"Barnala")</f>
        <v>Barnala</v>
      </c>
      <c r="C95" s="1" t="str">
        <f ca="1">IFERROR(__xludf.DUMMYFUNCTION("""COMPUTED_VALUE"""),"Electronics and Communications Engineering")</f>
        <v>Electronics and Communications Engineering</v>
      </c>
      <c r="D95" s="1" t="str">
        <f ca="1">IFERROR(__xludf.DUMMYFUNCTION("""COMPUTED_VALUE"""),"JAGDEEP SINGH SIDHU")</f>
        <v>JAGDEEP SINGH SIDHU</v>
      </c>
      <c r="E95" s="1" t="str">
        <f ca="1">IFERROR(__xludf.DUMMYFUNCTION("""COMPUTED_VALUE"""),"HOD")</f>
        <v>HOD</v>
      </c>
      <c r="F95" s="1" t="str">
        <f ca="1">IFERROR(__xludf.DUMMYFUNCTION("""COMPUTED_VALUE"""),"Jags1170@gmail.com")</f>
        <v>Jags1170@gmail.com</v>
      </c>
      <c r="G95" s="1">
        <f ca="1">IFERROR(__xludf.DUMMYFUNCTION("""COMPUTED_VALUE"""),9888606136)</f>
        <v>9888606136</v>
      </c>
    </row>
    <row r="96" spans="1:7" x14ac:dyDescent="0.3">
      <c r="A96" s="1" t="str">
        <f ca="1">IFERROR(__xludf.DUMMYFUNCTION("""COMPUTED_VALUE"""),"SBAS GPC Badbar")</f>
        <v>SBAS GPC Badbar</v>
      </c>
      <c r="B96" s="1" t="str">
        <f ca="1">IFERROR(__xludf.DUMMYFUNCTION("""COMPUTED_VALUE"""),"Barnala")</f>
        <v>Barnala</v>
      </c>
      <c r="C96" s="1" t="str">
        <f ca="1">IFERROR(__xludf.DUMMYFUNCTION("""COMPUTED_VALUE"""),"Electronics and Communications Engineering")</f>
        <v>Electronics and Communications Engineering</v>
      </c>
      <c r="D96" s="1" t="str">
        <f ca="1">IFERROR(__xludf.DUMMYFUNCTION("""COMPUTED_VALUE"""),"RAJWINDER SINGH")</f>
        <v>RAJWINDER SINGH</v>
      </c>
      <c r="E96" s="1" t="str">
        <f ca="1">IFERROR(__xludf.DUMMYFUNCTION("""COMPUTED_VALUE"""),"Lecturer")</f>
        <v>Lecturer</v>
      </c>
      <c r="F96" s="1" t="str">
        <f ca="1">IFERROR(__xludf.DUMMYFUNCTION("""COMPUTED_VALUE"""),"rajwindersd16@gmail.com ")</f>
        <v xml:space="preserve">rajwindersd16@gmail.com </v>
      </c>
      <c r="G96" s="1">
        <f ca="1">IFERROR(__xludf.DUMMYFUNCTION("""COMPUTED_VALUE"""),9646310014)</f>
        <v>9646310014</v>
      </c>
    </row>
    <row r="97" spans="1:7" x14ac:dyDescent="0.3">
      <c r="A97" s="1" t="str">
        <f ca="1">IFERROR(__xludf.DUMMYFUNCTION("""COMPUTED_VALUE"""),"SBAS GPC Badbar")</f>
        <v>SBAS GPC Badbar</v>
      </c>
      <c r="B97" s="1" t="str">
        <f ca="1">IFERROR(__xludf.DUMMYFUNCTION("""COMPUTED_VALUE"""),"Barnala")</f>
        <v>Barnala</v>
      </c>
      <c r="C97" s="1" t="str">
        <f ca="1">IFERROR(__xludf.DUMMYFUNCTION("""COMPUTED_VALUE"""),"Electronics and Communications Engineering")</f>
        <v>Electronics and Communications Engineering</v>
      </c>
      <c r="D97" s="1" t="str">
        <f ca="1">IFERROR(__xludf.DUMMYFUNCTION("""COMPUTED_VALUE"""),"RAVNEET KAUR")</f>
        <v>RAVNEET KAUR</v>
      </c>
      <c r="E97" s="1" t="str">
        <f ca="1">IFERROR(__xludf.DUMMYFUNCTION("""COMPUTED_VALUE"""),"Lecturer")</f>
        <v>Lecturer</v>
      </c>
      <c r="F97" s="1" t="str">
        <f ca="1">IFERROR(__xludf.DUMMYFUNCTION("""COMPUTED_VALUE"""),"ravneet2304@gmail.com")</f>
        <v>ravneet2304@gmail.com</v>
      </c>
      <c r="G97" s="1">
        <f ca="1">IFERROR(__xludf.DUMMYFUNCTION("""COMPUTED_VALUE"""),7837171150)</f>
        <v>7837171150</v>
      </c>
    </row>
    <row r="98" spans="1:7" x14ac:dyDescent="0.3">
      <c r="A98" s="1" t="str">
        <f ca="1">IFERROR(__xludf.DUMMYFUNCTION("""COMPUTED_VALUE"""),"SBAS GPC Badbar")</f>
        <v>SBAS GPC Badbar</v>
      </c>
      <c r="B98" s="1" t="str">
        <f ca="1">IFERROR(__xludf.DUMMYFUNCTION("""COMPUTED_VALUE"""),"Barnala")</f>
        <v>Barnala</v>
      </c>
      <c r="C98" s="1" t="str">
        <f ca="1">IFERROR(__xludf.DUMMYFUNCTION("""COMPUTED_VALUE"""),"Electronics and Communications Engineering")</f>
        <v>Electronics and Communications Engineering</v>
      </c>
      <c r="D98" s="1" t="str">
        <f ca="1">IFERROR(__xludf.DUMMYFUNCTION("""COMPUTED_VALUE"""),"SATNAM SINGH")</f>
        <v>SATNAM SINGH</v>
      </c>
      <c r="E98" s="1" t="str">
        <f ca="1">IFERROR(__xludf.DUMMYFUNCTION("""COMPUTED_VALUE"""),"Lecturer")</f>
        <v>Lecturer</v>
      </c>
      <c r="F98" s="1" t="str">
        <f ca="1">IFERROR(__xludf.DUMMYFUNCTION("""COMPUTED_VALUE"""),"er.satnamsingh1992@gmail.com")</f>
        <v>er.satnamsingh1992@gmail.com</v>
      </c>
      <c r="G98" s="1">
        <f ca="1">IFERROR(__xludf.DUMMYFUNCTION("""COMPUTED_VALUE"""),9855558102)</f>
        <v>9855558102</v>
      </c>
    </row>
    <row r="99" spans="1:7" x14ac:dyDescent="0.3">
      <c r="A99" s="1" t="str">
        <f ca="1">IFERROR(__xludf.DUMMYFUNCTION("""COMPUTED_VALUE"""),"SBAS GPC Badbar")</f>
        <v>SBAS GPC Badbar</v>
      </c>
      <c r="B99" s="1" t="str">
        <f ca="1">IFERROR(__xludf.DUMMYFUNCTION("""COMPUTED_VALUE"""),"Barnala")</f>
        <v>Barnala</v>
      </c>
      <c r="C99" s="1" t="str">
        <f ca="1">IFERROR(__xludf.DUMMYFUNCTION("""COMPUTED_VALUE"""),"Mechanical Engineering")</f>
        <v>Mechanical Engineering</v>
      </c>
      <c r="D99" s="1" t="str">
        <f ca="1">IFERROR(__xludf.DUMMYFUNCTION("""COMPUTED_VALUE"""),"AMRIK SINGH")</f>
        <v>AMRIK SINGH</v>
      </c>
      <c r="E99" s="1" t="str">
        <f ca="1">IFERROR(__xludf.DUMMYFUNCTION("""COMPUTED_VALUE"""),"Lecturer")</f>
        <v>Lecturer</v>
      </c>
      <c r="F99" s="1" t="str">
        <f ca="1">IFERROR(__xludf.DUMMYFUNCTION("""COMPUTED_VALUE"""),"amrikmundan@gmail.com")</f>
        <v>amrikmundan@gmail.com</v>
      </c>
      <c r="G99" s="1">
        <f ca="1">IFERROR(__xludf.DUMMYFUNCTION("""COMPUTED_VALUE"""),9467617492)</f>
        <v>9467617492</v>
      </c>
    </row>
    <row r="100" spans="1:7" x14ac:dyDescent="0.3">
      <c r="A100" s="1" t="str">
        <f ca="1">IFERROR(__xludf.DUMMYFUNCTION("""COMPUTED_VALUE"""),"SBAS GPC Badbar")</f>
        <v>SBAS GPC Badbar</v>
      </c>
      <c r="B100" s="1" t="str">
        <f ca="1">IFERROR(__xludf.DUMMYFUNCTION("""COMPUTED_VALUE"""),"Barnala")</f>
        <v>Barnala</v>
      </c>
      <c r="C100" s="1" t="str">
        <f ca="1">IFERROR(__xludf.DUMMYFUNCTION("""COMPUTED_VALUE"""),"Mechanical Engineering")</f>
        <v>Mechanical Engineering</v>
      </c>
      <c r="D100" s="1" t="str">
        <f ca="1">IFERROR(__xludf.DUMMYFUNCTION("""COMPUTED_VALUE"""),"DEEPAK JINDAL")</f>
        <v>DEEPAK JINDAL</v>
      </c>
      <c r="E100" s="1" t="str">
        <f ca="1">IFERROR(__xludf.DUMMYFUNCTION("""COMPUTED_VALUE"""),"Lecturer")</f>
        <v>Lecturer</v>
      </c>
      <c r="F100" s="1" t="str">
        <f ca="1">IFERROR(__xludf.DUMMYFUNCTION("""COMPUTED_VALUE"""),"deepakjindal030@gmail.com")</f>
        <v>deepakjindal030@gmail.com</v>
      </c>
      <c r="G100" s="1">
        <f ca="1">IFERROR(__xludf.DUMMYFUNCTION("""COMPUTED_VALUE"""),9464442681)</f>
        <v>9464442681</v>
      </c>
    </row>
    <row r="101" spans="1:7" x14ac:dyDescent="0.3">
      <c r="A101" s="1" t="str">
        <f ca="1">IFERROR(__xludf.DUMMYFUNCTION("""COMPUTED_VALUE"""),"SBAS GPC Badbar")</f>
        <v>SBAS GPC Badbar</v>
      </c>
      <c r="B101" s="1" t="str">
        <f ca="1">IFERROR(__xludf.DUMMYFUNCTION("""COMPUTED_VALUE"""),"Barnala")</f>
        <v>Barnala</v>
      </c>
      <c r="C101" s="1" t="str">
        <f ca="1">IFERROR(__xludf.DUMMYFUNCTION("""COMPUTED_VALUE"""),"Mechanical Engineering")</f>
        <v>Mechanical Engineering</v>
      </c>
      <c r="D101" s="1" t="str">
        <f ca="1">IFERROR(__xludf.DUMMYFUNCTION("""COMPUTED_VALUE"""),"HARJINDER SINGH")</f>
        <v>HARJINDER SINGH</v>
      </c>
      <c r="E101" s="1" t="str">
        <f ca="1">IFERROR(__xludf.DUMMYFUNCTION("""COMPUTED_VALUE"""),"HOD")</f>
        <v>HOD</v>
      </c>
      <c r="F101" s="1" t="str">
        <f ca="1">IFERROR(__xludf.DUMMYFUNCTION("""COMPUTED_VALUE"""),"harjinder72fzr@yahoo.co.in")</f>
        <v>harjinder72fzr@yahoo.co.in</v>
      </c>
      <c r="G101" s="1">
        <f ca="1">IFERROR(__xludf.DUMMYFUNCTION("""COMPUTED_VALUE"""),7889017903)</f>
        <v>7889017903</v>
      </c>
    </row>
    <row r="102" spans="1:7" x14ac:dyDescent="0.3">
      <c r="A102" s="1" t="str">
        <f ca="1">IFERROR(__xludf.DUMMYFUNCTION("""COMPUTED_VALUE"""),"SBAS GPC Badbar")</f>
        <v>SBAS GPC Badbar</v>
      </c>
      <c r="B102" s="1" t="str">
        <f ca="1">IFERROR(__xludf.DUMMYFUNCTION("""COMPUTED_VALUE"""),"Barnala")</f>
        <v>Barnala</v>
      </c>
      <c r="C102" s="1" t="str">
        <f ca="1">IFERROR(__xludf.DUMMYFUNCTION("""COMPUTED_VALUE"""),"Mechanical Engineering")</f>
        <v>Mechanical Engineering</v>
      </c>
      <c r="D102" s="1" t="str">
        <f ca="1">IFERROR(__xludf.DUMMYFUNCTION("""COMPUTED_VALUE"""),"KHUSHPREET SINGH")</f>
        <v>KHUSHPREET SINGH</v>
      </c>
      <c r="E102" s="1" t="str">
        <f ca="1">IFERROR(__xludf.DUMMYFUNCTION("""COMPUTED_VALUE"""),"Sr. Lecturer")</f>
        <v>Sr. Lecturer</v>
      </c>
      <c r="F102" s="1" t="str">
        <f ca="1">IFERROR(__xludf.DUMMYFUNCTION("""COMPUTED_VALUE"""),"Khushpreet89@gmail.com")</f>
        <v>Khushpreet89@gmail.com</v>
      </c>
      <c r="G102" s="1">
        <f ca="1">IFERROR(__xludf.DUMMYFUNCTION("""COMPUTED_VALUE"""),9888258239)</f>
        <v>9888258239</v>
      </c>
    </row>
    <row r="103" spans="1:7" x14ac:dyDescent="0.3">
      <c r="A103" s="1" t="str">
        <f ca="1">IFERROR(__xludf.DUMMYFUNCTION("""COMPUTED_VALUE"""),"SBAS GPC Badbar")</f>
        <v>SBAS GPC Badbar</v>
      </c>
      <c r="B103" s="1" t="str">
        <f ca="1">IFERROR(__xludf.DUMMYFUNCTION("""COMPUTED_VALUE"""),"Barnala")</f>
        <v>Barnala</v>
      </c>
      <c r="C103" s="1" t="str">
        <f ca="1">IFERROR(__xludf.DUMMYFUNCTION("""COMPUTED_VALUE"""),"Mechanical Engineering")</f>
        <v>Mechanical Engineering</v>
      </c>
      <c r="D103" s="1" t="str">
        <f ca="1">IFERROR(__xludf.DUMMYFUNCTION("""COMPUTED_VALUE"""),"LOVEPREET SINGH")</f>
        <v>LOVEPREET SINGH</v>
      </c>
      <c r="E103" s="1" t="str">
        <f ca="1">IFERROR(__xludf.DUMMYFUNCTION("""COMPUTED_VALUE"""),"Sr. Lecturer")</f>
        <v>Sr. Lecturer</v>
      </c>
      <c r="F103" s="1" t="str">
        <f ca="1">IFERROR(__xludf.DUMMYFUNCTION("""COMPUTED_VALUE"""),"lovegne07@gmail.com")</f>
        <v>lovegne07@gmail.com</v>
      </c>
      <c r="G103" s="1">
        <f ca="1">IFERROR(__xludf.DUMMYFUNCTION("""COMPUTED_VALUE"""),9855398009)</f>
        <v>9855398009</v>
      </c>
    </row>
    <row r="104" spans="1:7" x14ac:dyDescent="0.3">
      <c r="A104" s="1" t="str">
        <f ca="1">IFERROR(__xludf.DUMMYFUNCTION("""COMPUTED_VALUE"""),"SBAS GPC Badbar")</f>
        <v>SBAS GPC Badbar</v>
      </c>
      <c r="B104" s="1" t="str">
        <f ca="1">IFERROR(__xludf.DUMMYFUNCTION("""COMPUTED_VALUE"""),"Barnala")</f>
        <v>Barnala</v>
      </c>
      <c r="C104" s="1" t="str">
        <f ca="1">IFERROR(__xludf.DUMMYFUNCTION("""COMPUTED_VALUE"""),"Workshop")</f>
        <v>Workshop</v>
      </c>
      <c r="D104" s="1" t="str">
        <f ca="1">IFERROR(__xludf.DUMMYFUNCTION("""COMPUTED_VALUE"""),"RITWINDER SINGH")</f>
        <v>RITWINDER SINGH</v>
      </c>
      <c r="E104" s="1" t="str">
        <f ca="1">IFERROR(__xludf.DUMMYFUNCTION("""COMPUTED_VALUE"""),"Foreman Instructor")</f>
        <v>Foreman Instructor</v>
      </c>
      <c r="F104" s="1" t="str">
        <f ca="1">IFERROR(__xludf.DUMMYFUNCTION("""COMPUTED_VALUE"""),"ritwinder@gmail.com")</f>
        <v>ritwinder@gmail.com</v>
      </c>
      <c r="G104" s="1">
        <f ca="1">IFERROR(__xludf.DUMMYFUNCTION("""COMPUTED_VALUE"""),9814614838)</f>
        <v>9814614838</v>
      </c>
    </row>
    <row r="105" spans="1:7" x14ac:dyDescent="0.3">
      <c r="A105" s="1" t="str">
        <f ca="1">IFERROR(__xludf.DUMMYFUNCTION("""COMPUTED_VALUE"""),"Governement Polytechnic College, Bathinda")</f>
        <v>Governement Polytechnic College, Bathinda</v>
      </c>
      <c r="B105" s="1" t="str">
        <f ca="1">IFERROR(__xludf.DUMMYFUNCTION("""COMPUTED_VALUE"""),"Bathinda")</f>
        <v>Bathinda</v>
      </c>
      <c r="C105" s="1" t="str">
        <f ca="1">IFERROR(__xludf.DUMMYFUNCTION("""COMPUTED_VALUE"""),"Applied Science")</f>
        <v>Applied Science</v>
      </c>
      <c r="D105" s="1" t="str">
        <f ca="1">IFERROR(__xludf.DUMMYFUNCTION("""COMPUTED_VALUE"""),"Abhinav Soni")</f>
        <v>Abhinav Soni</v>
      </c>
      <c r="E105" s="1" t="str">
        <f ca="1">IFERROR(__xludf.DUMMYFUNCTION("""COMPUTED_VALUE"""),"Lecturer")</f>
        <v>Lecturer</v>
      </c>
      <c r="F105" s="1" t="str">
        <f ca="1">IFERROR(__xludf.DUMMYFUNCTION("""COMPUTED_VALUE"""),"aruhani80@gmail.com")</f>
        <v>aruhani80@gmail.com</v>
      </c>
      <c r="G105" s="1">
        <f ca="1">IFERROR(__xludf.DUMMYFUNCTION("""COMPUTED_VALUE"""),9814723032)</f>
        <v>9814723032</v>
      </c>
    </row>
    <row r="106" spans="1:7" x14ac:dyDescent="0.3">
      <c r="A106" s="1" t="str">
        <f ca="1">IFERROR(__xludf.DUMMYFUNCTION("""COMPUTED_VALUE"""),"Governement Polytechnic College, Bathinda")</f>
        <v>Governement Polytechnic College, Bathinda</v>
      </c>
      <c r="B106" s="1" t="str">
        <f ca="1">IFERROR(__xludf.DUMMYFUNCTION("""COMPUTED_VALUE"""),"Bathinda")</f>
        <v>Bathinda</v>
      </c>
      <c r="C106" s="1" t="str">
        <f ca="1">IFERROR(__xludf.DUMMYFUNCTION("""COMPUTED_VALUE"""),"Pharmacy")</f>
        <v>Pharmacy</v>
      </c>
      <c r="D106" s="1" t="str">
        <f ca="1">IFERROR(__xludf.DUMMYFUNCTION("""COMPUTED_VALUE"""),"Amrit Paul ")</f>
        <v xml:space="preserve">Amrit Paul </v>
      </c>
      <c r="E106" s="1" t="str">
        <f ca="1">IFERROR(__xludf.DUMMYFUNCTION("""COMPUTED_VALUE"""),"Lecturer")</f>
        <v>Lecturer</v>
      </c>
      <c r="F106" s="1" t="str">
        <f ca="1">IFERROR(__xludf.DUMMYFUNCTION("""COMPUTED_VALUE"""),"amritpaul39@gmail.com")</f>
        <v>amritpaul39@gmail.com</v>
      </c>
      <c r="G106" s="1">
        <f ca="1">IFERROR(__xludf.DUMMYFUNCTION("""COMPUTED_VALUE"""),9465687234)</f>
        <v>9465687234</v>
      </c>
    </row>
    <row r="107" spans="1:7" x14ac:dyDescent="0.3">
      <c r="A107" s="1" t="str">
        <f ca="1">IFERROR(__xludf.DUMMYFUNCTION("""COMPUTED_VALUE"""),"Governement Polytechnic College, Bathinda")</f>
        <v>Governement Polytechnic College, Bathinda</v>
      </c>
      <c r="B107" s="1" t="str">
        <f ca="1">IFERROR(__xludf.DUMMYFUNCTION("""COMPUTED_VALUE"""),"Bathinda")</f>
        <v>Bathinda</v>
      </c>
      <c r="C107" s="1" t="str">
        <f ca="1">IFERROR(__xludf.DUMMYFUNCTION("""COMPUTED_VALUE"""),"Architecture Assistanceship")</f>
        <v>Architecture Assistanceship</v>
      </c>
      <c r="D107" s="1" t="str">
        <f ca="1">IFERROR(__xludf.DUMMYFUNCTION("""COMPUTED_VALUE"""),"Anmol Garg")</f>
        <v>Anmol Garg</v>
      </c>
      <c r="E107" s="1" t="str">
        <f ca="1">IFERROR(__xludf.DUMMYFUNCTION("""COMPUTED_VALUE"""),"Lecturer")</f>
        <v>Lecturer</v>
      </c>
      <c r="F107" s="1" t="str">
        <f ca="1">IFERROR(__xludf.DUMMYFUNCTION("""COMPUTED_VALUE"""),"anmol02garg@gmail.com")</f>
        <v>anmol02garg@gmail.com</v>
      </c>
      <c r="G107" s="1">
        <f ca="1">IFERROR(__xludf.DUMMYFUNCTION("""COMPUTED_VALUE"""),9914410599)</f>
        <v>9914410599</v>
      </c>
    </row>
    <row r="108" spans="1:7" x14ac:dyDescent="0.3">
      <c r="A108" s="1" t="str">
        <f ca="1">IFERROR(__xludf.DUMMYFUNCTION("""COMPUTED_VALUE"""),"Governement Polytechnic College, Bathinda")</f>
        <v>Governement Polytechnic College, Bathinda</v>
      </c>
      <c r="B108" s="1" t="str">
        <f ca="1">IFERROR(__xludf.DUMMYFUNCTION("""COMPUTED_VALUE"""),"Bathinda")</f>
        <v>Bathinda</v>
      </c>
      <c r="C108" s="1" t="str">
        <f ca="1">IFERROR(__xludf.DUMMYFUNCTION("""COMPUTED_VALUE"""),"Architecture Assistanceship")</f>
        <v>Architecture Assistanceship</v>
      </c>
      <c r="D108" s="1" t="str">
        <f ca="1">IFERROR(__xludf.DUMMYFUNCTION("""COMPUTED_VALUE"""),"Anuja Pupneja")</f>
        <v>Anuja Pupneja</v>
      </c>
      <c r="E108" s="1" t="str">
        <f ca="1">IFERROR(__xludf.DUMMYFUNCTION("""COMPUTED_VALUE"""),"Principal")</f>
        <v>Principal</v>
      </c>
      <c r="F108" s="1" t="str">
        <f ca="1">IFERROR(__xludf.DUMMYFUNCTION("""COMPUTED_VALUE"""),"anujapupneja@gmail.com")</f>
        <v>anujapupneja@gmail.com</v>
      </c>
      <c r="G108" s="1">
        <f ca="1">IFERROR(__xludf.DUMMYFUNCTION("""COMPUTED_VALUE"""),9501108778)</f>
        <v>9501108778</v>
      </c>
    </row>
    <row r="109" spans="1:7" x14ac:dyDescent="0.3">
      <c r="A109" s="1" t="str">
        <f ca="1">IFERROR(__xludf.DUMMYFUNCTION("""COMPUTED_VALUE"""),"Governement Polytechnic College, Bathinda")</f>
        <v>Governement Polytechnic College, Bathinda</v>
      </c>
      <c r="B109" s="1" t="str">
        <f ca="1">IFERROR(__xludf.DUMMYFUNCTION("""COMPUTED_VALUE"""),"Bathinda")</f>
        <v>Bathinda</v>
      </c>
      <c r="C109" s="1" t="str">
        <f ca="1">IFERROR(__xludf.DUMMYFUNCTION("""COMPUTED_VALUE"""),"Architecture Assistanceship")</f>
        <v>Architecture Assistanceship</v>
      </c>
      <c r="D109" s="1" t="str">
        <f ca="1">IFERROR(__xludf.DUMMYFUNCTION("""COMPUTED_VALUE"""),"Archana Singla")</f>
        <v>Archana Singla</v>
      </c>
      <c r="E109" s="1" t="str">
        <f ca="1">IFERROR(__xludf.DUMMYFUNCTION("""COMPUTED_VALUE"""),"Lecturer")</f>
        <v>Lecturer</v>
      </c>
      <c r="F109" s="1" t="str">
        <f ca="1">IFERROR(__xludf.DUMMYFUNCTION("""COMPUTED_VALUE"""),"singla.archana6@gmail.com ")</f>
        <v xml:space="preserve">singla.archana6@gmail.com </v>
      </c>
      <c r="G109" s="1">
        <f ca="1">IFERROR(__xludf.DUMMYFUNCTION("""COMPUTED_VALUE"""),9417458929)</f>
        <v>9417458929</v>
      </c>
    </row>
    <row r="110" spans="1:7" x14ac:dyDescent="0.3">
      <c r="A110" s="1" t="str">
        <f ca="1">IFERROR(__xludf.DUMMYFUNCTION("""COMPUTED_VALUE"""),"Governement Polytechnic College, Bathinda")</f>
        <v>Governement Polytechnic College, Bathinda</v>
      </c>
      <c r="B110" s="1" t="str">
        <f ca="1">IFERROR(__xludf.DUMMYFUNCTION("""COMPUTED_VALUE"""),"Bathinda")</f>
        <v>Bathinda</v>
      </c>
      <c r="C110" s="1" t="str">
        <f ca="1">IFERROR(__xludf.DUMMYFUNCTION("""COMPUTED_VALUE"""),"Civil Engineering")</f>
        <v>Civil Engineering</v>
      </c>
      <c r="D110" s="1" t="str">
        <f ca="1">IFERROR(__xludf.DUMMYFUNCTION("""COMPUTED_VALUE"""),"Arunbir Singh")</f>
        <v>Arunbir Singh</v>
      </c>
      <c r="E110" s="1" t="str">
        <f ca="1">IFERROR(__xludf.DUMMYFUNCTION("""COMPUTED_VALUE"""),"Lecturer")</f>
        <v>Lecturer</v>
      </c>
      <c r="F110" s="1" t="str">
        <f ca="1">IFERROR(__xludf.DUMMYFUNCTION("""COMPUTED_VALUE"""),"arunscer@gmail.com")</f>
        <v>arunscer@gmail.com</v>
      </c>
      <c r="G110" s="1">
        <f ca="1">IFERROR(__xludf.DUMMYFUNCTION("""COMPUTED_VALUE"""),9888938845)</f>
        <v>9888938845</v>
      </c>
    </row>
    <row r="111" spans="1:7" x14ac:dyDescent="0.3">
      <c r="A111" s="1" t="str">
        <f ca="1">IFERROR(__xludf.DUMMYFUNCTION("""COMPUTED_VALUE"""),"Governement Polytechnic College, Bathinda")</f>
        <v>Governement Polytechnic College, Bathinda</v>
      </c>
      <c r="B111" s="1" t="str">
        <f ca="1">IFERROR(__xludf.DUMMYFUNCTION("""COMPUTED_VALUE"""),"Bathinda")</f>
        <v>Bathinda</v>
      </c>
      <c r="C111" s="1" t="str">
        <f ca="1">IFERROR(__xludf.DUMMYFUNCTION("""COMPUTED_VALUE"""),"Pharmacy")</f>
        <v>Pharmacy</v>
      </c>
      <c r="D111" s="1" t="str">
        <f ca="1">IFERROR(__xludf.DUMMYFUNCTION("""COMPUTED_VALUE"""),"Ashit Kumar Sharma")</f>
        <v>Ashit Kumar Sharma</v>
      </c>
      <c r="E111" s="1" t="str">
        <f ca="1">IFERROR(__xludf.DUMMYFUNCTION("""COMPUTED_VALUE"""),"Lecturer")</f>
        <v>Lecturer</v>
      </c>
      <c r="F111" s="1" t="str">
        <f ca="1">IFERROR(__xludf.DUMMYFUNCTION("""COMPUTED_VALUE"""),"ashit0009@gmail.com")</f>
        <v>ashit0009@gmail.com</v>
      </c>
      <c r="G111" s="1">
        <f ca="1">IFERROR(__xludf.DUMMYFUNCTION("""COMPUTED_VALUE"""),9021725268)</f>
        <v>9021725268</v>
      </c>
    </row>
    <row r="112" spans="1:7" x14ac:dyDescent="0.3">
      <c r="A112" s="1" t="str">
        <f ca="1">IFERROR(__xludf.DUMMYFUNCTION("""COMPUTED_VALUE"""),"Governement Polytechnic College, Bathinda")</f>
        <v>Governement Polytechnic College, Bathinda</v>
      </c>
      <c r="B112" s="1" t="str">
        <f ca="1">IFERROR(__xludf.DUMMYFUNCTION("""COMPUTED_VALUE"""),"Bathinda")</f>
        <v>Bathinda</v>
      </c>
      <c r="C112" s="1" t="str">
        <f ca="1">IFERROR(__xludf.DUMMYFUNCTION("""COMPUTED_VALUE"""),"Mechanical Engineering")</f>
        <v>Mechanical Engineering</v>
      </c>
      <c r="D112" s="1" t="str">
        <f ca="1">IFERROR(__xludf.DUMMYFUNCTION("""COMPUTED_VALUE"""),"Bharat Bansal")</f>
        <v>Bharat Bansal</v>
      </c>
      <c r="E112" s="1" t="str">
        <f ca="1">IFERROR(__xludf.DUMMYFUNCTION("""COMPUTED_VALUE"""),"Lecturer")</f>
        <v>Lecturer</v>
      </c>
      <c r="F112" s="1" t="str">
        <f ca="1">IFERROR(__xludf.DUMMYFUNCTION("""COMPUTED_VALUE"""),"bbansal303@gmail.com")</f>
        <v>bbansal303@gmail.com</v>
      </c>
      <c r="G112" s="1">
        <f ca="1">IFERROR(__xludf.DUMMYFUNCTION("""COMPUTED_VALUE"""),9465750303)</f>
        <v>9465750303</v>
      </c>
    </row>
    <row r="113" spans="1:7" x14ac:dyDescent="0.3">
      <c r="A113" s="1" t="str">
        <f ca="1">IFERROR(__xludf.DUMMYFUNCTION("""COMPUTED_VALUE"""),"Governement Polytechnic College, Bathinda")</f>
        <v>Governement Polytechnic College, Bathinda</v>
      </c>
      <c r="B113" s="1" t="str">
        <f ca="1">IFERROR(__xludf.DUMMYFUNCTION("""COMPUTED_VALUE"""),"Bathinda")</f>
        <v>Bathinda</v>
      </c>
      <c r="C113" s="1" t="str">
        <f ca="1">IFERROR(__xludf.DUMMYFUNCTION("""COMPUTED_VALUE"""),"Applied Science")</f>
        <v>Applied Science</v>
      </c>
      <c r="D113" s="1" t="str">
        <f ca="1">IFERROR(__xludf.DUMMYFUNCTION("""COMPUTED_VALUE"""),"Darshan Singh Dhillon")</f>
        <v>Darshan Singh Dhillon</v>
      </c>
      <c r="E113" s="1" t="str">
        <f ca="1">IFERROR(__xludf.DUMMYFUNCTION("""COMPUTED_VALUE"""),"HOD")</f>
        <v>HOD</v>
      </c>
      <c r="F113" s="1" t="str">
        <f ca="1">IFERROR(__xludf.DUMMYFUNCTION("""COMPUTED_VALUE"""),"Retired on dated 31-10-2025")</f>
        <v>Retired on dated 31-10-2025</v>
      </c>
      <c r="G113" s="1"/>
    </row>
    <row r="114" spans="1:7" x14ac:dyDescent="0.3">
      <c r="A114" s="1" t="str">
        <f ca="1">IFERROR(__xludf.DUMMYFUNCTION("""COMPUTED_VALUE"""),"Governement Polytechnic College, Bathinda")</f>
        <v>Governement Polytechnic College, Bathinda</v>
      </c>
      <c r="B114" s="1" t="str">
        <f ca="1">IFERROR(__xludf.DUMMYFUNCTION("""COMPUTED_VALUE"""),"Bathinda")</f>
        <v>Bathinda</v>
      </c>
      <c r="C114" s="1" t="str">
        <f ca="1">IFERROR(__xludf.DUMMYFUNCTION("""COMPUTED_VALUE"""),"Mechanical Engineering")</f>
        <v>Mechanical Engineering</v>
      </c>
      <c r="D114" s="1" t="str">
        <f ca="1">IFERROR(__xludf.DUMMYFUNCTION("""COMPUTED_VALUE"""),"Deepak Bansal")</f>
        <v>Deepak Bansal</v>
      </c>
      <c r="E114" s="1" t="str">
        <f ca="1">IFERROR(__xludf.DUMMYFUNCTION("""COMPUTED_VALUE"""),"Sr. Lecturer")</f>
        <v>Sr. Lecturer</v>
      </c>
      <c r="F114" s="1" t="str">
        <f ca="1">IFERROR(__xludf.DUMMYFUNCTION("""COMPUTED_VALUE"""),"deepak.bansal10410@gmail.com")</f>
        <v>deepak.bansal10410@gmail.com</v>
      </c>
      <c r="G114" s="1">
        <f ca="1">IFERROR(__xludf.DUMMYFUNCTION("""COMPUTED_VALUE"""),7696878051)</f>
        <v>7696878051</v>
      </c>
    </row>
    <row r="115" spans="1:7" x14ac:dyDescent="0.3">
      <c r="A115" s="1" t="str">
        <f ca="1">IFERROR(__xludf.DUMMYFUNCTION("""COMPUTED_VALUE"""),"Governement Polytechnic College, Bathinda")</f>
        <v>Governement Polytechnic College, Bathinda</v>
      </c>
      <c r="B115" s="1" t="str">
        <f ca="1">IFERROR(__xludf.DUMMYFUNCTION("""COMPUTED_VALUE"""),"Bathinda")</f>
        <v>Bathinda</v>
      </c>
      <c r="C115" s="1" t="str">
        <f ca="1">IFERROR(__xludf.DUMMYFUNCTION("""COMPUTED_VALUE"""),"Computer Science and Engineering")</f>
        <v>Computer Science and Engineering</v>
      </c>
      <c r="D115" s="1" t="str">
        <f ca="1">IFERROR(__xludf.DUMMYFUNCTION("""COMPUTED_VALUE"""),"Deepti")</f>
        <v>Deepti</v>
      </c>
      <c r="E115" s="1" t="str">
        <f ca="1">IFERROR(__xludf.DUMMYFUNCTION("""COMPUTED_VALUE"""),"Lecturer")</f>
        <v>Lecturer</v>
      </c>
      <c r="F115" s="1" t="str">
        <f ca="1">IFERROR(__xludf.DUMMYFUNCTION("""COMPUTED_VALUE"""),"Deeptiswarn@gmail.com")</f>
        <v>Deeptiswarn@gmail.com</v>
      </c>
      <c r="G115" s="1">
        <f ca="1">IFERROR(__xludf.DUMMYFUNCTION("""COMPUTED_VALUE"""),8146581801)</f>
        <v>8146581801</v>
      </c>
    </row>
    <row r="116" spans="1:7" x14ac:dyDescent="0.3">
      <c r="A116" s="1" t="str">
        <f ca="1">IFERROR(__xludf.DUMMYFUNCTION("""COMPUTED_VALUE"""),"Governement Polytechnic College, Bathinda")</f>
        <v>Governement Polytechnic College, Bathinda</v>
      </c>
      <c r="B116" s="1" t="str">
        <f ca="1">IFERROR(__xludf.DUMMYFUNCTION("""COMPUTED_VALUE"""),"Bathinda")</f>
        <v>Bathinda</v>
      </c>
      <c r="C116" s="1" t="str">
        <f ca="1">IFERROR(__xludf.DUMMYFUNCTION("""COMPUTED_VALUE"""),"Applied Science")</f>
        <v>Applied Science</v>
      </c>
      <c r="D116" s="1" t="str">
        <f ca="1">IFERROR(__xludf.DUMMYFUNCTION("""COMPUTED_VALUE"""),"Gagandeep Singh")</f>
        <v>Gagandeep Singh</v>
      </c>
      <c r="E116" s="1" t="str">
        <f ca="1">IFERROR(__xludf.DUMMYFUNCTION("""COMPUTED_VALUE"""),"Lecturer")</f>
        <v>Lecturer</v>
      </c>
      <c r="F116" s="1" t="str">
        <f ca="1">IFERROR(__xludf.DUMMYFUNCTION("""COMPUTED_VALUE"""),"gagandeep.longowalia@gmail.com")</f>
        <v>gagandeep.longowalia@gmail.com</v>
      </c>
      <c r="G116" s="1">
        <f ca="1">IFERROR(__xludf.DUMMYFUNCTION("""COMPUTED_VALUE"""),9988633633)</f>
        <v>9988633633</v>
      </c>
    </row>
    <row r="117" spans="1:7" x14ac:dyDescent="0.3">
      <c r="A117" s="1" t="str">
        <f ca="1">IFERROR(__xludf.DUMMYFUNCTION("""COMPUTED_VALUE"""),"Governement Polytechnic College, Bathinda")</f>
        <v>Governement Polytechnic College, Bathinda</v>
      </c>
      <c r="B117" s="1" t="str">
        <f ca="1">IFERROR(__xludf.DUMMYFUNCTION("""COMPUTED_VALUE"""),"Bathinda")</f>
        <v>Bathinda</v>
      </c>
      <c r="C117" s="1" t="str">
        <f ca="1">IFERROR(__xludf.DUMMYFUNCTION("""COMPUTED_VALUE"""),"Electrical Engineering")</f>
        <v>Electrical Engineering</v>
      </c>
      <c r="D117" s="1" t="str">
        <f ca="1">IFERROR(__xludf.DUMMYFUNCTION("""COMPUTED_VALUE"""),"Garima Rani")</f>
        <v>Garima Rani</v>
      </c>
      <c r="E117" s="1" t="str">
        <f ca="1">IFERROR(__xludf.DUMMYFUNCTION("""COMPUTED_VALUE"""),"Lecturer")</f>
        <v>Lecturer</v>
      </c>
      <c r="F117" s="1" t="str">
        <f ca="1">IFERROR(__xludf.DUMMYFUNCTION("""COMPUTED_VALUE"""),"garima.nitc@gmail.com")</f>
        <v>garima.nitc@gmail.com</v>
      </c>
      <c r="G117" s="1">
        <f ca="1">IFERROR(__xludf.DUMMYFUNCTION("""COMPUTED_VALUE"""),7888814239)</f>
        <v>7888814239</v>
      </c>
    </row>
    <row r="118" spans="1:7" x14ac:dyDescent="0.3">
      <c r="A118" s="1" t="str">
        <f ca="1">IFERROR(__xludf.DUMMYFUNCTION("""COMPUTED_VALUE"""),"Governement Polytechnic College, Bathinda")</f>
        <v>Governement Polytechnic College, Bathinda</v>
      </c>
      <c r="B118" s="1" t="str">
        <f ca="1">IFERROR(__xludf.DUMMYFUNCTION("""COMPUTED_VALUE"""),"Bathinda")</f>
        <v>Bathinda</v>
      </c>
      <c r="C118" s="1" t="str">
        <f ca="1">IFERROR(__xludf.DUMMYFUNCTION("""COMPUTED_VALUE"""),"Architecture Assistanceship")</f>
        <v>Architecture Assistanceship</v>
      </c>
      <c r="D118" s="1" t="str">
        <f ca="1">IFERROR(__xludf.DUMMYFUNCTION("""COMPUTED_VALUE"""),"Gaurav Jindal")</f>
        <v>Gaurav Jindal</v>
      </c>
      <c r="E118" s="1" t="str">
        <f ca="1">IFERROR(__xludf.DUMMYFUNCTION("""COMPUTED_VALUE"""),"Lecturer")</f>
        <v>Lecturer</v>
      </c>
      <c r="F118" s="1" t="str">
        <f ca="1">IFERROR(__xludf.DUMMYFUNCTION("""COMPUTED_VALUE"""),"gj2708@gmail.com")</f>
        <v>gj2708@gmail.com</v>
      </c>
      <c r="G118" s="1">
        <f ca="1">IFERROR(__xludf.DUMMYFUNCTION("""COMPUTED_VALUE"""),9463755011)</f>
        <v>9463755011</v>
      </c>
    </row>
    <row r="119" spans="1:7" x14ac:dyDescent="0.3">
      <c r="A119" s="1" t="str">
        <f ca="1">IFERROR(__xludf.DUMMYFUNCTION("""COMPUTED_VALUE"""),"Governement Polytechnic College, Bathinda")</f>
        <v>Governement Polytechnic College, Bathinda</v>
      </c>
      <c r="B119" s="1" t="str">
        <f ca="1">IFERROR(__xludf.DUMMYFUNCTION("""COMPUTED_VALUE"""),"Bathinda")</f>
        <v>Bathinda</v>
      </c>
      <c r="C119" s="1" t="str">
        <f ca="1">IFERROR(__xludf.DUMMYFUNCTION("""COMPUTED_VALUE"""),"Mechanical Engineering(Production)")</f>
        <v>Mechanical Engineering(Production)</v>
      </c>
      <c r="D119" s="1" t="str">
        <f ca="1">IFERROR(__xludf.DUMMYFUNCTION("""COMPUTED_VALUE"""),"Gurinder Singh Mangat")</f>
        <v>Gurinder Singh Mangat</v>
      </c>
      <c r="E119" s="1" t="str">
        <f ca="1">IFERROR(__xludf.DUMMYFUNCTION("""COMPUTED_VALUE"""),"Lecturer")</f>
        <v>Lecturer</v>
      </c>
      <c r="F119" s="1" t="str">
        <f ca="1">IFERROR(__xludf.DUMMYFUNCTION("""COMPUTED_VALUE"""),"gsmangat1311@gmail.com")</f>
        <v>gsmangat1311@gmail.com</v>
      </c>
      <c r="G119" s="1">
        <f ca="1">IFERROR(__xludf.DUMMYFUNCTION("""COMPUTED_VALUE"""),9814723712)</f>
        <v>9814723712</v>
      </c>
    </row>
    <row r="120" spans="1:7" x14ac:dyDescent="0.3">
      <c r="A120" s="1" t="str">
        <f ca="1">IFERROR(__xludf.DUMMYFUNCTION("""COMPUTED_VALUE"""),"Governement Polytechnic College, Bathinda")</f>
        <v>Governement Polytechnic College, Bathinda</v>
      </c>
      <c r="B120" s="1" t="str">
        <f ca="1">IFERROR(__xludf.DUMMYFUNCTION("""COMPUTED_VALUE"""),"Bathinda")</f>
        <v>Bathinda</v>
      </c>
      <c r="C120" s="1" t="str">
        <f ca="1">IFERROR(__xludf.DUMMYFUNCTION("""COMPUTED_VALUE"""),"Computer Science and Engineering")</f>
        <v>Computer Science and Engineering</v>
      </c>
      <c r="D120" s="1" t="str">
        <f ca="1">IFERROR(__xludf.DUMMYFUNCTION("""COMPUTED_VALUE"""),"Gurpreet Kaur")</f>
        <v>Gurpreet Kaur</v>
      </c>
      <c r="E120" s="1" t="str">
        <f ca="1">IFERROR(__xludf.DUMMYFUNCTION("""COMPUTED_VALUE"""),"Lecturer")</f>
        <v>Lecturer</v>
      </c>
      <c r="F120" s="1" t="str">
        <f ca="1">IFERROR(__xludf.DUMMYFUNCTION("""COMPUTED_VALUE"""),"gurpreetkaur2091@gmail.com")</f>
        <v>gurpreetkaur2091@gmail.com</v>
      </c>
      <c r="G120" s="1">
        <f ca="1">IFERROR(__xludf.DUMMYFUNCTION("""COMPUTED_VALUE"""),9115129167)</f>
        <v>9115129167</v>
      </c>
    </row>
    <row r="121" spans="1:7" x14ac:dyDescent="0.3">
      <c r="A121" s="1" t="str">
        <f ca="1">IFERROR(__xludf.DUMMYFUNCTION("""COMPUTED_VALUE"""),"Governement Polytechnic College, Bathinda")</f>
        <v>Governement Polytechnic College, Bathinda</v>
      </c>
      <c r="B121" s="1" t="str">
        <f ca="1">IFERROR(__xludf.DUMMYFUNCTION("""COMPUTED_VALUE"""),"Bathinda")</f>
        <v>Bathinda</v>
      </c>
      <c r="C121" s="1" t="str">
        <f ca="1">IFERROR(__xludf.DUMMYFUNCTION("""COMPUTED_VALUE"""),"Civil Engineering")</f>
        <v>Civil Engineering</v>
      </c>
      <c r="D121" s="1" t="str">
        <f ca="1">IFERROR(__xludf.DUMMYFUNCTION("""COMPUTED_VALUE"""),"Harcharan Singh")</f>
        <v>Harcharan Singh</v>
      </c>
      <c r="E121" s="1" t="str">
        <f ca="1">IFERROR(__xludf.DUMMYFUNCTION("""COMPUTED_VALUE"""),"Sen Lecturer")</f>
        <v>Sen Lecturer</v>
      </c>
      <c r="F121" s="1" t="str">
        <f ca="1">IFERROR(__xludf.DUMMYFUNCTION("""COMPUTED_VALUE"""),"harcharan93@gmail.com")</f>
        <v>harcharan93@gmail.com</v>
      </c>
      <c r="G121" s="1">
        <f ca="1">IFERROR(__xludf.DUMMYFUNCTION("""COMPUTED_VALUE"""),7589213339)</f>
        <v>7589213339</v>
      </c>
    </row>
    <row r="122" spans="1:7" x14ac:dyDescent="0.3">
      <c r="A122" s="1" t="str">
        <f ca="1">IFERROR(__xludf.DUMMYFUNCTION("""COMPUTED_VALUE"""),"Governement Polytechnic College, Bathinda")</f>
        <v>Governement Polytechnic College, Bathinda</v>
      </c>
      <c r="B122" s="1" t="str">
        <f ca="1">IFERROR(__xludf.DUMMYFUNCTION("""COMPUTED_VALUE"""),"Bathinda")</f>
        <v>Bathinda</v>
      </c>
      <c r="C122" s="1" t="str">
        <f ca="1">IFERROR(__xludf.DUMMYFUNCTION("""COMPUTED_VALUE"""),"Information Technology")</f>
        <v>Information Technology</v>
      </c>
      <c r="D122" s="1" t="str">
        <f ca="1">IFERROR(__xludf.DUMMYFUNCTION("""COMPUTED_VALUE"""),"Harkamaljeet Kaur")</f>
        <v>Harkamaljeet Kaur</v>
      </c>
      <c r="E122" s="1" t="str">
        <f ca="1">IFERROR(__xludf.DUMMYFUNCTION("""COMPUTED_VALUE"""),"Lecturer")</f>
        <v>Lecturer</v>
      </c>
      <c r="F122" s="1" t="str">
        <f ca="1">IFERROR(__xludf.DUMMYFUNCTION("""COMPUTED_VALUE"""),"it.harkamal@gmail.com")</f>
        <v>it.harkamal@gmail.com</v>
      </c>
      <c r="G122" s="1">
        <f ca="1">IFERROR(__xludf.DUMMYFUNCTION("""COMPUTED_VALUE"""),9465608778)</f>
        <v>9465608778</v>
      </c>
    </row>
    <row r="123" spans="1:7" x14ac:dyDescent="0.3">
      <c r="A123" s="1" t="str">
        <f ca="1">IFERROR(__xludf.DUMMYFUNCTION("""COMPUTED_VALUE"""),"Governement Polytechnic College, Bathinda")</f>
        <v>Governement Polytechnic College, Bathinda</v>
      </c>
      <c r="B123" s="1" t="str">
        <f ca="1">IFERROR(__xludf.DUMMYFUNCTION("""COMPUTED_VALUE"""),"Bathinda")</f>
        <v>Bathinda</v>
      </c>
      <c r="C123" s="1" t="str">
        <f ca="1">IFERROR(__xludf.DUMMYFUNCTION("""COMPUTED_VALUE"""),"Mechanical Engineering")</f>
        <v>Mechanical Engineering</v>
      </c>
      <c r="D123" s="1" t="str">
        <f ca="1">IFERROR(__xludf.DUMMYFUNCTION("""COMPUTED_VALUE"""),"Harshmani")</f>
        <v>Harshmani</v>
      </c>
      <c r="E123" s="1" t="str">
        <f ca="1">IFERROR(__xludf.DUMMYFUNCTION("""COMPUTED_VALUE"""),"Lecturer")</f>
        <v>Lecturer</v>
      </c>
      <c r="F123" s="1" t="str">
        <f ca="1">IFERROR(__xludf.DUMMYFUNCTION("""COMPUTED_VALUE"""),"harshmani4@gmail.com")</f>
        <v>harshmani4@gmail.com</v>
      </c>
      <c r="G123" s="1">
        <f ca="1">IFERROR(__xludf.DUMMYFUNCTION("""COMPUTED_VALUE"""),7696590674)</f>
        <v>7696590674</v>
      </c>
    </row>
    <row r="124" spans="1:7" x14ac:dyDescent="0.3">
      <c r="A124" s="1" t="str">
        <f ca="1">IFERROR(__xludf.DUMMYFUNCTION("""COMPUTED_VALUE"""),"Governement Polytechnic College, Bathinda")</f>
        <v>Governement Polytechnic College, Bathinda</v>
      </c>
      <c r="B124" s="1" t="str">
        <f ca="1">IFERROR(__xludf.DUMMYFUNCTION("""COMPUTED_VALUE"""),"Bathinda")</f>
        <v>Bathinda</v>
      </c>
      <c r="C124" s="1" t="str">
        <f ca="1">IFERROR(__xludf.DUMMYFUNCTION("""COMPUTED_VALUE"""),"Information Technology")</f>
        <v>Information Technology</v>
      </c>
      <c r="D124" s="1" t="str">
        <f ca="1">IFERROR(__xludf.DUMMYFUNCTION("""COMPUTED_VALUE"""),"Inderjeet Singh Bamrah")</f>
        <v>Inderjeet Singh Bamrah</v>
      </c>
      <c r="E124" s="1" t="str">
        <f ca="1">IFERROR(__xludf.DUMMYFUNCTION("""COMPUTED_VALUE"""),"Lecturer")</f>
        <v>Lecturer</v>
      </c>
      <c r="F124" s="1" t="str">
        <f ca="1">IFERROR(__xludf.DUMMYFUNCTION("""COMPUTED_VALUE"""),"inderjeet.bamrah90@punjab.gov.in")</f>
        <v>inderjeet.bamrah90@punjab.gov.in</v>
      </c>
      <c r="G124" s="1">
        <f ca="1">IFERROR(__xludf.DUMMYFUNCTION("""COMPUTED_VALUE"""),6283516255)</f>
        <v>6283516255</v>
      </c>
    </row>
    <row r="125" spans="1:7" x14ac:dyDescent="0.3">
      <c r="A125" s="1" t="str">
        <f ca="1">IFERROR(__xludf.DUMMYFUNCTION("""COMPUTED_VALUE"""),"Governement Polytechnic College, Bathinda")</f>
        <v>Governement Polytechnic College, Bathinda</v>
      </c>
      <c r="B125" s="1" t="str">
        <f ca="1">IFERROR(__xludf.DUMMYFUNCTION("""COMPUTED_VALUE"""),"Bathinda")</f>
        <v>Bathinda</v>
      </c>
      <c r="C125" s="1" t="str">
        <f ca="1">IFERROR(__xludf.DUMMYFUNCTION("""COMPUTED_VALUE"""),"Electronics and Communications Engineering")</f>
        <v>Electronics and Communications Engineering</v>
      </c>
      <c r="D125" s="1" t="str">
        <f ca="1">IFERROR(__xludf.DUMMYFUNCTION("""COMPUTED_VALUE"""),"Jagdeep Kaur Rai")</f>
        <v>Jagdeep Kaur Rai</v>
      </c>
      <c r="E125" s="1" t="str">
        <f ca="1">IFERROR(__xludf.DUMMYFUNCTION("""COMPUTED_VALUE"""),"Sr. Lecturer")</f>
        <v>Sr. Lecturer</v>
      </c>
      <c r="F125" s="1" t="str">
        <f ca="1">IFERROR(__xludf.DUMMYFUNCTION("""COMPUTED_VALUE"""),"jagdeepkaurrai777@gmail.com")</f>
        <v>jagdeepkaurrai777@gmail.com</v>
      </c>
      <c r="G125" s="1">
        <f ca="1">IFERROR(__xludf.DUMMYFUNCTION("""COMPUTED_VALUE"""),9501108790)</f>
        <v>9501108790</v>
      </c>
    </row>
    <row r="126" spans="1:7" x14ac:dyDescent="0.3">
      <c r="A126" s="1" t="str">
        <f ca="1">IFERROR(__xludf.DUMMYFUNCTION("""COMPUTED_VALUE"""),"Governement Polytechnic College, Bathinda")</f>
        <v>Governement Polytechnic College, Bathinda</v>
      </c>
      <c r="B126" s="1" t="str">
        <f ca="1">IFERROR(__xludf.DUMMYFUNCTION("""COMPUTED_VALUE"""),"Bathinda")</f>
        <v>Bathinda</v>
      </c>
      <c r="C126" s="1" t="str">
        <f ca="1">IFERROR(__xludf.DUMMYFUNCTION("""COMPUTED_VALUE"""),"Electrical Engineering")</f>
        <v>Electrical Engineering</v>
      </c>
      <c r="D126" s="1" t="str">
        <f ca="1">IFERROR(__xludf.DUMMYFUNCTION("""COMPUTED_VALUE"""),"Jagdeep Singh Kamboj")</f>
        <v>Jagdeep Singh Kamboj</v>
      </c>
      <c r="E126" s="1" t="str">
        <f ca="1">IFERROR(__xludf.DUMMYFUNCTION("""COMPUTED_VALUE"""),"Lecturer")</f>
        <v>Lecturer</v>
      </c>
      <c r="F126" s="1" t="str">
        <f ca="1">IFERROR(__xludf.DUMMYFUNCTION("""COMPUTED_VALUE"""),"jagdeepsinghkamboj20@gmail.com")</f>
        <v>jagdeepsinghkamboj20@gmail.com</v>
      </c>
      <c r="G126" s="1">
        <f ca="1">IFERROR(__xludf.DUMMYFUNCTION("""COMPUTED_VALUE"""),9888754125)</f>
        <v>9888754125</v>
      </c>
    </row>
    <row r="127" spans="1:7" x14ac:dyDescent="0.3">
      <c r="A127" s="1" t="str">
        <f ca="1">IFERROR(__xludf.DUMMYFUNCTION("""COMPUTED_VALUE"""),"Governement Polytechnic College, Bathinda")</f>
        <v>Governement Polytechnic College, Bathinda</v>
      </c>
      <c r="B127" s="1" t="str">
        <f ca="1">IFERROR(__xludf.DUMMYFUNCTION("""COMPUTED_VALUE"""),"Bathinda")</f>
        <v>Bathinda</v>
      </c>
      <c r="C127" s="1" t="str">
        <f ca="1">IFERROR(__xludf.DUMMYFUNCTION("""COMPUTED_VALUE"""),"Mechanical Engineering")</f>
        <v>Mechanical Engineering</v>
      </c>
      <c r="D127" s="1" t="str">
        <f ca="1">IFERROR(__xludf.DUMMYFUNCTION("""COMPUTED_VALUE"""),"Jasdeep Singh")</f>
        <v>Jasdeep Singh</v>
      </c>
      <c r="E127" s="1" t="str">
        <f ca="1">IFERROR(__xludf.DUMMYFUNCTION("""COMPUTED_VALUE"""),"Lecturer")</f>
        <v>Lecturer</v>
      </c>
      <c r="F127" s="1" t="str">
        <f ca="1">IFERROR(__xludf.DUMMYFUNCTION("""COMPUTED_VALUE"""),"jasdeepsinngh@gmail.com")</f>
        <v>jasdeepsinngh@gmail.com</v>
      </c>
      <c r="G127" s="1">
        <f ca="1">IFERROR(__xludf.DUMMYFUNCTION("""COMPUTED_VALUE"""),7009552288)</f>
        <v>7009552288</v>
      </c>
    </row>
    <row r="128" spans="1:7" x14ac:dyDescent="0.3">
      <c r="A128" s="1" t="str">
        <f ca="1">IFERROR(__xludf.DUMMYFUNCTION("""COMPUTED_VALUE"""),"Governement Polytechnic College, Bathinda")</f>
        <v>Governement Polytechnic College, Bathinda</v>
      </c>
      <c r="B128" s="1" t="str">
        <f ca="1">IFERROR(__xludf.DUMMYFUNCTION("""COMPUTED_VALUE"""),"Bathinda")</f>
        <v>Bathinda</v>
      </c>
      <c r="C128" s="1" t="str">
        <f ca="1">IFERROR(__xludf.DUMMYFUNCTION("""COMPUTED_VALUE"""),"Civil Engineering")</f>
        <v>Civil Engineering</v>
      </c>
      <c r="D128" s="1" t="str">
        <f ca="1">IFERROR(__xludf.DUMMYFUNCTION("""COMPUTED_VALUE"""),"Jaspreet Singh")</f>
        <v>Jaspreet Singh</v>
      </c>
      <c r="E128" s="1" t="str">
        <f ca="1">IFERROR(__xludf.DUMMYFUNCTION("""COMPUTED_VALUE"""),"Lecturer")</f>
        <v>Lecturer</v>
      </c>
      <c r="F128" s="1" t="str">
        <f ca="1">IFERROR(__xludf.DUMMYFUNCTION("""COMPUTED_VALUE"""),"jaspreet0011@gmail.com")</f>
        <v>jaspreet0011@gmail.com</v>
      </c>
      <c r="G128" s="1">
        <f ca="1">IFERROR(__xludf.DUMMYFUNCTION("""COMPUTED_VALUE"""),9988665124)</f>
        <v>9988665124</v>
      </c>
    </row>
    <row r="129" spans="1:7" x14ac:dyDescent="0.3">
      <c r="A129" s="1" t="str">
        <f ca="1">IFERROR(__xludf.DUMMYFUNCTION("""COMPUTED_VALUE"""),"Governement Polytechnic College, Bathinda")</f>
        <v>Governement Polytechnic College, Bathinda</v>
      </c>
      <c r="B129" s="1" t="str">
        <f ca="1">IFERROR(__xludf.DUMMYFUNCTION("""COMPUTED_VALUE"""),"Bathinda")</f>
        <v>Bathinda</v>
      </c>
      <c r="C129" s="1" t="str">
        <f ca="1">IFERROR(__xludf.DUMMYFUNCTION("""COMPUTED_VALUE"""),"Applied Science")</f>
        <v>Applied Science</v>
      </c>
      <c r="D129" s="1" t="str">
        <f ca="1">IFERROR(__xludf.DUMMYFUNCTION("""COMPUTED_VALUE"""),"Jaswinder Singh")</f>
        <v>Jaswinder Singh</v>
      </c>
      <c r="E129" s="1" t="str">
        <f ca="1">IFERROR(__xludf.DUMMYFUNCTION("""COMPUTED_VALUE"""),"Lecturer")</f>
        <v>Lecturer</v>
      </c>
      <c r="F129" s="1" t="str">
        <f ca="1">IFERROR(__xludf.DUMMYFUNCTION("""COMPUTED_VALUE"""),"jaswinder48709@gmail.com")</f>
        <v>jaswinder48709@gmail.com</v>
      </c>
      <c r="G129" s="1">
        <f ca="1">IFERROR(__xludf.DUMMYFUNCTION("""COMPUTED_VALUE"""),9478548709)</f>
        <v>9478548709</v>
      </c>
    </row>
    <row r="130" spans="1:7" x14ac:dyDescent="0.3">
      <c r="A130" s="1" t="str">
        <f ca="1">IFERROR(__xludf.DUMMYFUNCTION("""COMPUTED_VALUE"""),"Governement Polytechnic College, Bathinda")</f>
        <v>Governement Polytechnic College, Bathinda</v>
      </c>
      <c r="B130" s="1" t="str">
        <f ca="1">IFERROR(__xludf.DUMMYFUNCTION("""COMPUTED_VALUE"""),"Bathinda")</f>
        <v>Bathinda</v>
      </c>
      <c r="C130" s="1" t="str">
        <f ca="1">IFERROR(__xludf.DUMMYFUNCTION("""COMPUTED_VALUE"""),"Pharmacy")</f>
        <v>Pharmacy</v>
      </c>
      <c r="D130" s="1" t="str">
        <f ca="1">IFERROR(__xludf.DUMMYFUNCTION("""COMPUTED_VALUE"""),"Junaid Niazi")</f>
        <v>Junaid Niazi</v>
      </c>
      <c r="E130" s="1" t="str">
        <f ca="1">IFERROR(__xludf.DUMMYFUNCTION("""COMPUTED_VALUE"""),"Lecturer")</f>
        <v>Lecturer</v>
      </c>
      <c r="F130" s="1" t="str">
        <f ca="1">IFERROR(__xludf.DUMMYFUNCTION("""COMPUTED_VALUE"""),"junaid.rbip@rediffmail.com")</f>
        <v>junaid.rbip@rediffmail.com</v>
      </c>
      <c r="G130" s="1">
        <f ca="1">IFERROR(__xludf.DUMMYFUNCTION("""COMPUTED_VALUE"""),9041075438)</f>
        <v>9041075438</v>
      </c>
    </row>
    <row r="131" spans="1:7" x14ac:dyDescent="0.3">
      <c r="A131" s="1" t="str">
        <f ca="1">IFERROR(__xludf.DUMMYFUNCTION("""COMPUTED_VALUE"""),"Governement Polytechnic College, Bathinda")</f>
        <v>Governement Polytechnic College, Bathinda</v>
      </c>
      <c r="B131" s="1" t="str">
        <f ca="1">IFERROR(__xludf.DUMMYFUNCTION("""COMPUTED_VALUE"""),"Bathinda")</f>
        <v>Bathinda</v>
      </c>
      <c r="C131" s="1" t="str">
        <f ca="1">IFERROR(__xludf.DUMMYFUNCTION("""COMPUTED_VALUE"""),"Electrical Engineering")</f>
        <v>Electrical Engineering</v>
      </c>
      <c r="D131" s="1" t="str">
        <f ca="1">IFERROR(__xludf.DUMMYFUNCTION("""COMPUTED_VALUE"""),"Kamal Garg")</f>
        <v>Kamal Garg</v>
      </c>
      <c r="E131" s="1" t="str">
        <f ca="1">IFERROR(__xludf.DUMMYFUNCTION("""COMPUTED_VALUE"""),"Lecturer")</f>
        <v>Lecturer</v>
      </c>
      <c r="F131" s="1" t="str">
        <f ca="1">IFERROR(__xludf.DUMMYFUNCTION("""COMPUTED_VALUE"""),"Kamalgarg67@yahoo.com")</f>
        <v>Kamalgarg67@yahoo.com</v>
      </c>
      <c r="G131" s="1">
        <f ca="1">IFERROR(__xludf.DUMMYFUNCTION("""COMPUTED_VALUE"""),9464662772)</f>
        <v>9464662772</v>
      </c>
    </row>
    <row r="132" spans="1:7" x14ac:dyDescent="0.3">
      <c r="A132" s="1" t="str">
        <f ca="1">IFERROR(__xludf.DUMMYFUNCTION("""COMPUTED_VALUE"""),"Governement Polytechnic College, Bathinda")</f>
        <v>Governement Polytechnic College, Bathinda</v>
      </c>
      <c r="B132" s="1" t="str">
        <f ca="1">IFERROR(__xludf.DUMMYFUNCTION("""COMPUTED_VALUE"""),"Bathinda")</f>
        <v>Bathinda</v>
      </c>
      <c r="C132" s="1" t="str">
        <f ca="1">IFERROR(__xludf.DUMMYFUNCTION("""COMPUTED_VALUE"""),"Computer Science and Engineering")</f>
        <v>Computer Science and Engineering</v>
      </c>
      <c r="D132" s="1" t="str">
        <f ca="1">IFERROR(__xludf.DUMMYFUNCTION("""COMPUTED_VALUE"""),"Lakhwinder Soni")</f>
        <v>Lakhwinder Soni</v>
      </c>
      <c r="E132" s="1" t="str">
        <f ca="1">IFERROR(__xludf.DUMMYFUNCTION("""COMPUTED_VALUE"""),"Lecturer")</f>
        <v>Lecturer</v>
      </c>
      <c r="F132" s="1" t="str">
        <f ca="1">IFERROR(__xludf.DUMMYFUNCTION("""COMPUTED_VALUE"""),"sonilakhvinder19@gmail.com")</f>
        <v>sonilakhvinder19@gmail.com</v>
      </c>
      <c r="G132" s="1">
        <f ca="1">IFERROR(__xludf.DUMMYFUNCTION("""COMPUTED_VALUE"""),9592544887)</f>
        <v>9592544887</v>
      </c>
    </row>
    <row r="133" spans="1:7" x14ac:dyDescent="0.3">
      <c r="A133" s="1" t="str">
        <f ca="1">IFERROR(__xludf.DUMMYFUNCTION("""COMPUTED_VALUE"""),"Governement Polytechnic College, Bathinda")</f>
        <v>Governement Polytechnic College, Bathinda</v>
      </c>
      <c r="B133" s="1" t="str">
        <f ca="1">IFERROR(__xludf.DUMMYFUNCTION("""COMPUTED_VALUE"""),"Bathinda")</f>
        <v>Bathinda</v>
      </c>
      <c r="C133" s="1" t="str">
        <f ca="1">IFERROR(__xludf.DUMMYFUNCTION("""COMPUTED_VALUE"""),"Information Technology")</f>
        <v>Information Technology</v>
      </c>
      <c r="D133" s="1" t="str">
        <f ca="1">IFERROR(__xludf.DUMMYFUNCTION("""COMPUTED_VALUE"""),"Magandeep Kaur Brar ")</f>
        <v xml:space="preserve">Magandeep Kaur Brar </v>
      </c>
      <c r="E133" s="1" t="str">
        <f ca="1">IFERROR(__xludf.DUMMYFUNCTION("""COMPUTED_VALUE"""),"Sr. Lecturer")</f>
        <v>Sr. Lecturer</v>
      </c>
      <c r="F133" s="1" t="str">
        <f ca="1">IFERROR(__xludf.DUMMYFUNCTION("""COMPUTED_VALUE"""),"brarmagan@gmail.com")</f>
        <v>brarmagan@gmail.com</v>
      </c>
      <c r="G133" s="1">
        <f ca="1">IFERROR(__xludf.DUMMYFUNCTION("""COMPUTED_VALUE"""),9815231079)</f>
        <v>9815231079</v>
      </c>
    </row>
    <row r="134" spans="1:7" x14ac:dyDescent="0.3">
      <c r="A134" s="1" t="str">
        <f ca="1">IFERROR(__xludf.DUMMYFUNCTION("""COMPUTED_VALUE"""),"Governement Polytechnic College, Bathinda")</f>
        <v>Governement Polytechnic College, Bathinda</v>
      </c>
      <c r="B134" s="1" t="str">
        <f ca="1">IFERROR(__xludf.DUMMYFUNCTION("""COMPUTED_VALUE"""),"Bathinda")</f>
        <v>Bathinda</v>
      </c>
      <c r="C134" s="1" t="str">
        <f ca="1">IFERROR(__xludf.DUMMYFUNCTION("""COMPUTED_VALUE"""),"Civil Engineering")</f>
        <v>Civil Engineering</v>
      </c>
      <c r="D134" s="1" t="str">
        <f ca="1">IFERROR(__xludf.DUMMYFUNCTION("""COMPUTED_VALUE"""),"Manwinder Singh")</f>
        <v>Manwinder Singh</v>
      </c>
      <c r="E134" s="1" t="str">
        <f ca="1">IFERROR(__xludf.DUMMYFUNCTION("""COMPUTED_VALUE"""),"Sr. Lecturer")</f>
        <v>Sr. Lecturer</v>
      </c>
      <c r="F134" s="1" t="str">
        <f ca="1">IFERROR(__xludf.DUMMYFUNCTION("""COMPUTED_VALUE"""),"manwinder11@gmail.com ")</f>
        <v xml:space="preserve">manwinder11@gmail.com </v>
      </c>
      <c r="G134" s="1">
        <f ca="1">IFERROR(__xludf.DUMMYFUNCTION("""COMPUTED_VALUE"""),9877469364)</f>
        <v>9877469364</v>
      </c>
    </row>
    <row r="135" spans="1:7" x14ac:dyDescent="0.3">
      <c r="A135" s="1" t="str">
        <f ca="1">IFERROR(__xludf.DUMMYFUNCTION("""COMPUTED_VALUE"""),"Governement Polytechnic College, Bathinda")</f>
        <v>Governement Polytechnic College, Bathinda</v>
      </c>
      <c r="B135" s="1" t="str">
        <f ca="1">IFERROR(__xludf.DUMMYFUNCTION("""COMPUTED_VALUE"""),"Bathinda")</f>
        <v>Bathinda</v>
      </c>
      <c r="C135" s="1" t="str">
        <f ca="1">IFERROR(__xludf.DUMMYFUNCTION("""COMPUTED_VALUE"""),"Electrical Engineering")</f>
        <v>Electrical Engineering</v>
      </c>
      <c r="D135" s="1" t="str">
        <f ca="1">IFERROR(__xludf.DUMMYFUNCTION("""COMPUTED_VALUE"""),"Meena Gill")</f>
        <v>Meena Gill</v>
      </c>
      <c r="E135" s="1" t="str">
        <f ca="1">IFERROR(__xludf.DUMMYFUNCTION("""COMPUTED_VALUE"""),"Sr. Lecturer")</f>
        <v>Sr. Lecturer</v>
      </c>
      <c r="F135" s="1" t="str">
        <f ca="1">IFERROR(__xludf.DUMMYFUNCTION("""COMPUTED_VALUE"""),"gillmeena73@gmail.com")</f>
        <v>gillmeena73@gmail.com</v>
      </c>
      <c r="G135" s="1">
        <f ca="1">IFERROR(__xludf.DUMMYFUNCTION("""COMPUTED_VALUE"""),9501108777)</f>
        <v>9501108777</v>
      </c>
    </row>
    <row r="136" spans="1:7" x14ac:dyDescent="0.3">
      <c r="A136" s="1" t="str">
        <f ca="1">IFERROR(__xludf.DUMMYFUNCTION("""COMPUTED_VALUE"""),"Governement Polytechnic College, Bathinda")</f>
        <v>Governement Polytechnic College, Bathinda</v>
      </c>
      <c r="B136" s="1" t="str">
        <f ca="1">IFERROR(__xludf.DUMMYFUNCTION("""COMPUTED_VALUE"""),"Bathinda")</f>
        <v>Bathinda</v>
      </c>
      <c r="C136" s="1" t="str">
        <f ca="1">IFERROR(__xludf.DUMMYFUNCTION("""COMPUTED_VALUE"""),"Computer Science and Engineering")</f>
        <v>Computer Science and Engineering</v>
      </c>
      <c r="D136" s="1" t="str">
        <f ca="1">IFERROR(__xludf.DUMMYFUNCTION("""COMPUTED_VALUE"""),"Mohanjeet Kaur")</f>
        <v>Mohanjeet Kaur</v>
      </c>
      <c r="E136" s="1" t="str">
        <f ca="1">IFERROR(__xludf.DUMMYFUNCTION("""COMPUTED_VALUE"""),"Lecturer")</f>
        <v>Lecturer</v>
      </c>
      <c r="F136" s="1" t="str">
        <f ca="1">IFERROR(__xludf.DUMMYFUNCTION("""COMPUTED_VALUE"""),"Kaur.mohanjeet@gmail.com")</f>
        <v>Kaur.mohanjeet@gmail.com</v>
      </c>
      <c r="G136" s="1">
        <f ca="1">IFERROR(__xludf.DUMMYFUNCTION("""COMPUTED_VALUE"""),9915781726)</f>
        <v>9915781726</v>
      </c>
    </row>
    <row r="137" spans="1:7" x14ac:dyDescent="0.3">
      <c r="A137" s="1" t="str">
        <f ca="1">IFERROR(__xludf.DUMMYFUNCTION("""COMPUTED_VALUE"""),"Governement Polytechnic College, Bathinda")</f>
        <v>Governement Polytechnic College, Bathinda</v>
      </c>
      <c r="B137" s="1" t="str">
        <f ca="1">IFERROR(__xludf.DUMMYFUNCTION("""COMPUTED_VALUE"""),"Bathinda")</f>
        <v>Bathinda</v>
      </c>
      <c r="C137" s="1" t="str">
        <f ca="1">IFERROR(__xludf.DUMMYFUNCTION("""COMPUTED_VALUE"""),"Mechanical Engineering")</f>
        <v>Mechanical Engineering</v>
      </c>
      <c r="D137" s="1" t="str">
        <f ca="1">IFERROR(__xludf.DUMMYFUNCTION("""COMPUTED_VALUE"""),"Munish Kumar")</f>
        <v>Munish Kumar</v>
      </c>
      <c r="E137" s="1" t="str">
        <f ca="1">IFERROR(__xludf.DUMMYFUNCTION("""COMPUTED_VALUE"""),"Sr. Lecturer")</f>
        <v>Sr. Lecturer</v>
      </c>
      <c r="F137" s="1" t="str">
        <f ca="1">IFERROR(__xludf.DUMMYFUNCTION("""COMPUTED_VALUE"""),"dr.munish1306@gmail.com")</f>
        <v>dr.munish1306@gmail.com</v>
      </c>
      <c r="G137" s="1">
        <f ca="1">IFERROR(__xludf.DUMMYFUNCTION("""COMPUTED_VALUE"""),9876861727)</f>
        <v>9876861727</v>
      </c>
    </row>
    <row r="138" spans="1:7" x14ac:dyDescent="0.3">
      <c r="A138" s="1" t="str">
        <f ca="1">IFERROR(__xludf.DUMMYFUNCTION("""COMPUTED_VALUE"""),"Governement Polytechnic College, Bathinda")</f>
        <v>Governement Polytechnic College, Bathinda</v>
      </c>
      <c r="B138" s="1" t="str">
        <f ca="1">IFERROR(__xludf.DUMMYFUNCTION("""COMPUTED_VALUE"""),"Bathinda")</f>
        <v>Bathinda</v>
      </c>
      <c r="C138" s="1" t="str">
        <f ca="1">IFERROR(__xludf.DUMMYFUNCTION("""COMPUTED_VALUE"""),"Applied Science")</f>
        <v>Applied Science</v>
      </c>
      <c r="D138" s="1" t="str">
        <f ca="1">IFERROR(__xludf.DUMMYFUNCTION("""COMPUTED_VALUE"""),"Namita Bansal")</f>
        <v>Namita Bansal</v>
      </c>
      <c r="E138" s="1" t="str">
        <f ca="1">IFERROR(__xludf.DUMMYFUNCTION("""COMPUTED_VALUE"""),"Lecturer")</f>
        <v>Lecturer</v>
      </c>
      <c r="F138" s="1" t="str">
        <f ca="1">IFERROR(__xludf.DUMMYFUNCTION("""COMPUTED_VALUE"""),"namitabansal.physics@gmail.com")</f>
        <v>namitabansal.physics@gmail.com</v>
      </c>
      <c r="G138" s="1">
        <f ca="1">IFERROR(__xludf.DUMMYFUNCTION("""COMPUTED_VALUE"""),8146546571)</f>
        <v>8146546571</v>
      </c>
    </row>
    <row r="139" spans="1:7" x14ac:dyDescent="0.3">
      <c r="A139" s="1" t="str">
        <f ca="1">IFERROR(__xludf.DUMMYFUNCTION("""COMPUTED_VALUE"""),"Governement Polytechnic College, Bathinda")</f>
        <v>Governement Polytechnic College, Bathinda</v>
      </c>
      <c r="B139" s="1" t="str">
        <f ca="1">IFERROR(__xludf.DUMMYFUNCTION("""COMPUTED_VALUE"""),"Bathinda")</f>
        <v>Bathinda</v>
      </c>
      <c r="C139" s="1" t="str">
        <f ca="1">IFERROR(__xludf.DUMMYFUNCTION("""COMPUTED_VALUE"""),"Applied Science")</f>
        <v>Applied Science</v>
      </c>
      <c r="D139" s="1" t="str">
        <f ca="1">IFERROR(__xludf.DUMMYFUNCTION("""COMPUTED_VALUE"""),"Narinder Kaur")</f>
        <v>Narinder Kaur</v>
      </c>
      <c r="E139" s="1" t="str">
        <f ca="1">IFERROR(__xludf.DUMMYFUNCTION("""COMPUTED_VALUE"""),"HOD")</f>
        <v>HOD</v>
      </c>
      <c r="F139" s="1" t="str">
        <f ca="1">IFERROR(__xludf.DUMMYFUNCTION("""COMPUTED_VALUE"""),"narinderkaur71@gmail.com")</f>
        <v>narinderkaur71@gmail.com</v>
      </c>
      <c r="G139" s="1">
        <f ca="1">IFERROR(__xludf.DUMMYFUNCTION("""COMPUTED_VALUE"""),9463374037)</f>
        <v>9463374037</v>
      </c>
    </row>
    <row r="140" spans="1:7" x14ac:dyDescent="0.3">
      <c r="A140" s="1" t="str">
        <f ca="1">IFERROR(__xludf.DUMMYFUNCTION("""COMPUTED_VALUE"""),"Governement Polytechnic College, Bathinda")</f>
        <v>Governement Polytechnic College, Bathinda</v>
      </c>
      <c r="B140" s="1" t="str">
        <f ca="1">IFERROR(__xludf.DUMMYFUNCTION("""COMPUTED_VALUE"""),"Bathinda")</f>
        <v>Bathinda</v>
      </c>
      <c r="C140" s="1" t="str">
        <f ca="1">IFERROR(__xludf.DUMMYFUNCTION("""COMPUTED_VALUE"""),"Pharmacy")</f>
        <v>Pharmacy</v>
      </c>
      <c r="D140" s="1" t="str">
        <f ca="1">IFERROR(__xludf.DUMMYFUNCTION("""COMPUTED_VALUE"""),"Navdeep")</f>
        <v>Navdeep</v>
      </c>
      <c r="E140" s="1" t="str">
        <f ca="1">IFERROR(__xludf.DUMMYFUNCTION("""COMPUTED_VALUE"""),"Lecturer")</f>
        <v>Lecturer</v>
      </c>
      <c r="F140" s="1" t="str">
        <f ca="1">IFERROR(__xludf.DUMMYFUNCTION("""COMPUTED_VALUE"""),"Aazim90@gmail.com")</f>
        <v>Aazim90@gmail.com</v>
      </c>
      <c r="G140" s="1">
        <f ca="1">IFERROR(__xludf.DUMMYFUNCTION("""COMPUTED_VALUE"""),9780608649)</f>
        <v>9780608649</v>
      </c>
    </row>
    <row r="141" spans="1:7" x14ac:dyDescent="0.3">
      <c r="A141" s="1" t="str">
        <f ca="1">IFERROR(__xludf.DUMMYFUNCTION("""COMPUTED_VALUE"""),"Governement Polytechnic College, Bathinda")</f>
        <v>Governement Polytechnic College, Bathinda</v>
      </c>
      <c r="B141" s="1" t="str">
        <f ca="1">IFERROR(__xludf.DUMMYFUNCTION("""COMPUTED_VALUE"""),"Bathinda")</f>
        <v>Bathinda</v>
      </c>
      <c r="C141" s="1" t="str">
        <f ca="1">IFERROR(__xludf.DUMMYFUNCTION("""COMPUTED_VALUE"""),"Electrical Engineering")</f>
        <v>Electrical Engineering</v>
      </c>
      <c r="D141" s="1" t="str">
        <f ca="1">IFERROR(__xludf.DUMMYFUNCTION("""COMPUTED_VALUE"""),"Navreet Kaur Grewal")</f>
        <v>Navreet Kaur Grewal</v>
      </c>
      <c r="E141" s="1" t="str">
        <f ca="1">IFERROR(__xludf.DUMMYFUNCTION("""COMPUTED_VALUE"""),"Lecturer")</f>
        <v>Lecturer</v>
      </c>
      <c r="F141" s="1" t="str">
        <f ca="1">IFERROR(__xludf.DUMMYFUNCTION("""COMPUTED_VALUE"""),"navreetkaurgrewal2008@gmail.com")</f>
        <v>navreetkaurgrewal2008@gmail.com</v>
      </c>
      <c r="G141" s="1">
        <f ca="1">IFERROR(__xludf.DUMMYFUNCTION("""COMPUTED_VALUE"""),7422800044)</f>
        <v>7422800044</v>
      </c>
    </row>
    <row r="142" spans="1:7" x14ac:dyDescent="0.3">
      <c r="A142" s="1" t="str">
        <f ca="1">IFERROR(__xludf.DUMMYFUNCTION("""COMPUTED_VALUE"""),"Governement Polytechnic College, Bathinda")</f>
        <v>Governement Polytechnic College, Bathinda</v>
      </c>
      <c r="B142" s="1" t="str">
        <f ca="1">IFERROR(__xludf.DUMMYFUNCTION("""COMPUTED_VALUE"""),"Bathinda")</f>
        <v>Bathinda</v>
      </c>
      <c r="C142" s="1" t="str">
        <f ca="1">IFERROR(__xludf.DUMMYFUNCTION("""COMPUTED_VALUE"""),"Information Technology")</f>
        <v>Information Technology</v>
      </c>
      <c r="D142" s="1" t="str">
        <f ca="1">IFERROR(__xludf.DUMMYFUNCTION("""COMPUTED_VALUE"""),"Neha")</f>
        <v>Neha</v>
      </c>
      <c r="E142" s="1" t="str">
        <f ca="1">IFERROR(__xludf.DUMMYFUNCTION("""COMPUTED_VALUE"""),"Lecturer")</f>
        <v>Lecturer</v>
      </c>
      <c r="F142" s="1" t="str">
        <f ca="1">IFERROR(__xludf.DUMMYFUNCTION("""COMPUTED_VALUE"""),"neharashmi8@gmail.com")</f>
        <v>neharashmi8@gmail.com</v>
      </c>
      <c r="G142" s="1"/>
    </row>
    <row r="143" spans="1:7" x14ac:dyDescent="0.3">
      <c r="A143" s="1" t="str">
        <f ca="1">IFERROR(__xludf.DUMMYFUNCTION("""COMPUTED_VALUE"""),"Governement Polytechnic College, Bathinda")</f>
        <v>Governement Polytechnic College, Bathinda</v>
      </c>
      <c r="B143" s="1" t="str">
        <f ca="1">IFERROR(__xludf.DUMMYFUNCTION("""COMPUTED_VALUE"""),"Bathinda")</f>
        <v>Bathinda</v>
      </c>
      <c r="C143" s="1" t="str">
        <f ca="1">IFERROR(__xludf.DUMMYFUNCTION("""COMPUTED_VALUE"""),"Information Technology")</f>
        <v>Information Technology</v>
      </c>
      <c r="D143" s="1" t="str">
        <f ca="1">IFERROR(__xludf.DUMMYFUNCTION("""COMPUTED_VALUE"""),"Parvesh Kumar")</f>
        <v>Parvesh Kumar</v>
      </c>
      <c r="E143" s="1" t="str">
        <f ca="1">IFERROR(__xludf.DUMMYFUNCTION("""COMPUTED_VALUE"""),"Lecturer")</f>
        <v>Lecturer</v>
      </c>
      <c r="F143" s="1" t="str">
        <f ca="1">IFERROR(__xludf.DUMMYFUNCTION("""COMPUTED_VALUE"""),"parvesh77@gmail.com")</f>
        <v>parvesh77@gmail.com</v>
      </c>
      <c r="G143" s="1">
        <f ca="1">IFERROR(__xludf.DUMMYFUNCTION("""COMPUTED_VALUE"""),9417604677)</f>
        <v>9417604677</v>
      </c>
    </row>
    <row r="144" spans="1:7" x14ac:dyDescent="0.3">
      <c r="A144" s="1" t="str">
        <f ca="1">IFERROR(__xludf.DUMMYFUNCTION("""COMPUTED_VALUE"""),"Governement Polytechnic College, Bathinda")</f>
        <v>Governement Polytechnic College, Bathinda</v>
      </c>
      <c r="B144" s="1" t="str">
        <f ca="1">IFERROR(__xludf.DUMMYFUNCTION("""COMPUTED_VALUE"""),"Bathinda")</f>
        <v>Bathinda</v>
      </c>
      <c r="C144" s="1" t="str">
        <f ca="1">IFERROR(__xludf.DUMMYFUNCTION("""COMPUTED_VALUE"""),"Mechanical Engineering")</f>
        <v>Mechanical Engineering</v>
      </c>
      <c r="D144" s="1" t="str">
        <f ca="1">IFERROR(__xludf.DUMMYFUNCTION("""COMPUTED_VALUE"""),"Rajvir Singh")</f>
        <v>Rajvir Singh</v>
      </c>
      <c r="E144" s="1" t="str">
        <f ca="1">IFERROR(__xludf.DUMMYFUNCTION("""COMPUTED_VALUE"""),"Lecturer")</f>
        <v>Lecturer</v>
      </c>
      <c r="F144" s="1" t="str">
        <f ca="1">IFERROR(__xludf.DUMMYFUNCTION("""COMPUTED_VALUE"""),"sran98031@gmail.com")</f>
        <v>sran98031@gmail.com</v>
      </c>
      <c r="G144" s="1">
        <f ca="1">IFERROR(__xludf.DUMMYFUNCTION("""COMPUTED_VALUE"""),9803116689)</f>
        <v>9803116689</v>
      </c>
    </row>
    <row r="145" spans="1:7" x14ac:dyDescent="0.3">
      <c r="A145" s="1" t="str">
        <f ca="1">IFERROR(__xludf.DUMMYFUNCTION("""COMPUTED_VALUE"""),"Governement Polytechnic College, Bathinda")</f>
        <v>Governement Polytechnic College, Bathinda</v>
      </c>
      <c r="B145" s="1" t="str">
        <f ca="1">IFERROR(__xludf.DUMMYFUNCTION("""COMPUTED_VALUE"""),"Bathinda")</f>
        <v>Bathinda</v>
      </c>
      <c r="C145" s="1" t="str">
        <f ca="1">IFERROR(__xludf.DUMMYFUNCTION("""COMPUTED_VALUE"""),"Applied Science")</f>
        <v>Applied Science</v>
      </c>
      <c r="D145" s="1" t="str">
        <f ca="1">IFERROR(__xludf.DUMMYFUNCTION("""COMPUTED_VALUE"""),"Rakesh Kumar")</f>
        <v>Rakesh Kumar</v>
      </c>
      <c r="E145" s="1" t="str">
        <f ca="1">IFERROR(__xludf.DUMMYFUNCTION("""COMPUTED_VALUE"""),"Sr. Lecturer")</f>
        <v>Sr. Lecturer</v>
      </c>
      <c r="F145" s="1" t="str">
        <f ca="1">IFERROR(__xludf.DUMMYFUNCTION("""COMPUTED_VALUE"""),"rakesh.mittal58@punjab.gov.in")</f>
        <v>rakesh.mittal58@punjab.gov.in</v>
      </c>
      <c r="G145" s="1"/>
    </row>
    <row r="146" spans="1:7" x14ac:dyDescent="0.3">
      <c r="A146" s="1" t="str">
        <f ca="1">IFERROR(__xludf.DUMMYFUNCTION("""COMPUTED_VALUE"""),"Governement Polytechnic College, Bathinda")</f>
        <v>Governement Polytechnic College, Bathinda</v>
      </c>
      <c r="B146" s="1" t="str">
        <f ca="1">IFERROR(__xludf.DUMMYFUNCTION("""COMPUTED_VALUE"""),"Bathinda")</f>
        <v>Bathinda</v>
      </c>
      <c r="C146" s="1" t="str">
        <f ca="1">IFERROR(__xludf.DUMMYFUNCTION("""COMPUTED_VALUE"""),"Electrical Engineering")</f>
        <v>Electrical Engineering</v>
      </c>
      <c r="D146" s="1" t="str">
        <f ca="1">IFERROR(__xludf.DUMMYFUNCTION("""COMPUTED_VALUE"""),"Ramandeep Singh")</f>
        <v>Ramandeep Singh</v>
      </c>
      <c r="E146" s="1" t="str">
        <f ca="1">IFERROR(__xludf.DUMMYFUNCTION("""COMPUTED_VALUE"""),"Lecturer")</f>
        <v>Lecturer</v>
      </c>
      <c r="F146" s="1" t="str">
        <f ca="1">IFERROR(__xludf.DUMMYFUNCTION("""COMPUTED_VALUE"""),"raman.raman714@gmail.com")</f>
        <v>raman.raman714@gmail.com</v>
      </c>
      <c r="G146" s="1">
        <f ca="1">IFERROR(__xludf.DUMMYFUNCTION("""COMPUTED_VALUE"""),9855896462)</f>
        <v>9855896462</v>
      </c>
    </row>
    <row r="147" spans="1:7" x14ac:dyDescent="0.3">
      <c r="A147" s="1" t="str">
        <f ca="1">IFERROR(__xludf.DUMMYFUNCTION("""COMPUTED_VALUE"""),"Governement Polytechnic College, Bathinda")</f>
        <v>Governement Polytechnic College, Bathinda</v>
      </c>
      <c r="B147" s="1" t="str">
        <f ca="1">IFERROR(__xludf.DUMMYFUNCTION("""COMPUTED_VALUE"""),"Bathinda")</f>
        <v>Bathinda</v>
      </c>
      <c r="C147" s="1" t="str">
        <f ca="1">IFERROR(__xludf.DUMMYFUNCTION("""COMPUTED_VALUE"""),"Civil Engineering")</f>
        <v>Civil Engineering</v>
      </c>
      <c r="D147" s="1" t="str">
        <f ca="1">IFERROR(__xludf.DUMMYFUNCTION("""COMPUTED_VALUE"""),"Rani Devi")</f>
        <v>Rani Devi</v>
      </c>
      <c r="E147" s="1" t="str">
        <f ca="1">IFERROR(__xludf.DUMMYFUNCTION("""COMPUTED_VALUE"""),"HOD")</f>
        <v>HOD</v>
      </c>
      <c r="F147" s="1" t="str">
        <f ca="1">IFERROR(__xludf.DUMMYFUNCTION("""COMPUTED_VALUE"""),"er.ranigoyal@gmail.com")</f>
        <v>er.ranigoyal@gmail.com</v>
      </c>
      <c r="G147" s="1">
        <f ca="1">IFERROR(__xludf.DUMMYFUNCTION("""COMPUTED_VALUE"""),7986743535)</f>
        <v>7986743535</v>
      </c>
    </row>
    <row r="148" spans="1:7" x14ac:dyDescent="0.3">
      <c r="A148" s="1" t="str">
        <f ca="1">IFERROR(__xludf.DUMMYFUNCTION("""COMPUTED_VALUE"""),"Governement Polytechnic College, Bathinda")</f>
        <v>Governement Polytechnic College, Bathinda</v>
      </c>
      <c r="B148" s="1" t="str">
        <f ca="1">IFERROR(__xludf.DUMMYFUNCTION("""COMPUTED_VALUE"""),"Bathinda")</f>
        <v>Bathinda</v>
      </c>
      <c r="C148" s="1" t="str">
        <f ca="1">IFERROR(__xludf.DUMMYFUNCTION("""COMPUTED_VALUE"""),"Mechanical Engineering(Production)")</f>
        <v>Mechanical Engineering(Production)</v>
      </c>
      <c r="D148" s="1" t="str">
        <f ca="1">IFERROR(__xludf.DUMMYFUNCTION("""COMPUTED_VALUE"""),"Rupinder Singh Chahal")</f>
        <v>Rupinder Singh Chahal</v>
      </c>
      <c r="E148" s="1" t="str">
        <f ca="1">IFERROR(__xludf.DUMMYFUNCTION("""COMPUTED_VALUE"""),"Sr. Lecturer")</f>
        <v>Sr. Lecturer</v>
      </c>
      <c r="F148" s="1" t="str">
        <f ca="1">IFERROR(__xludf.DUMMYFUNCTION("""COMPUTED_VALUE"""),"chahalrupin@rediffmail.com")</f>
        <v>chahalrupin@rediffmail.com</v>
      </c>
      <c r="G148" s="1">
        <f ca="1">IFERROR(__xludf.DUMMYFUNCTION("""COMPUTED_VALUE"""),9316906633)</f>
        <v>9316906633</v>
      </c>
    </row>
    <row r="149" spans="1:7" x14ac:dyDescent="0.3">
      <c r="A149" s="1" t="str">
        <f ca="1">IFERROR(__xludf.DUMMYFUNCTION("""COMPUTED_VALUE"""),"Governement Polytechnic College, Bathinda")</f>
        <v>Governement Polytechnic College, Bathinda</v>
      </c>
      <c r="B149" s="1" t="str">
        <f ca="1">IFERROR(__xludf.DUMMYFUNCTION("""COMPUTED_VALUE"""),"Bathinda")</f>
        <v>Bathinda</v>
      </c>
      <c r="C149" s="1" t="str">
        <f ca="1">IFERROR(__xludf.DUMMYFUNCTION("""COMPUTED_VALUE"""),"Electronics and Communications Engineering")</f>
        <v>Electronics and Communications Engineering</v>
      </c>
      <c r="D149" s="1" t="str">
        <f ca="1">IFERROR(__xludf.DUMMYFUNCTION("""COMPUTED_VALUE"""),"Shifali Gupta")</f>
        <v>Shifali Gupta</v>
      </c>
      <c r="E149" s="1" t="str">
        <f ca="1">IFERROR(__xludf.DUMMYFUNCTION("""COMPUTED_VALUE"""),"Lecturer")</f>
        <v>Lecturer</v>
      </c>
      <c r="F149" s="1" t="str">
        <f ca="1">IFERROR(__xludf.DUMMYFUNCTION("""COMPUTED_VALUE"""),"gupta.shifali3@gmail.com")</f>
        <v>gupta.shifali3@gmail.com</v>
      </c>
      <c r="G149" s="1">
        <f ca="1">IFERROR(__xludf.DUMMYFUNCTION("""COMPUTED_VALUE"""),9814268701)</f>
        <v>9814268701</v>
      </c>
    </row>
    <row r="150" spans="1:7" x14ac:dyDescent="0.3">
      <c r="A150" s="1" t="str">
        <f ca="1">IFERROR(__xludf.DUMMYFUNCTION("""COMPUTED_VALUE"""),"Governement Polytechnic College, Bathinda")</f>
        <v>Governement Polytechnic College, Bathinda</v>
      </c>
      <c r="B150" s="1" t="str">
        <f ca="1">IFERROR(__xludf.DUMMYFUNCTION("""COMPUTED_VALUE"""),"Bathinda")</f>
        <v>Bathinda</v>
      </c>
      <c r="C150" s="1" t="str">
        <f ca="1">IFERROR(__xludf.DUMMYFUNCTION("""COMPUTED_VALUE"""),"Computer Science and Engineering")</f>
        <v>Computer Science and Engineering</v>
      </c>
      <c r="D150" s="1" t="str">
        <f ca="1">IFERROR(__xludf.DUMMYFUNCTION("""COMPUTED_VALUE"""),"Sushil Kumar")</f>
        <v>Sushil Kumar</v>
      </c>
      <c r="E150" s="1" t="str">
        <f ca="1">IFERROR(__xludf.DUMMYFUNCTION("""COMPUTED_VALUE"""),"System Manager")</f>
        <v>System Manager</v>
      </c>
      <c r="F150" s="1" t="str">
        <f ca="1">IFERROR(__xludf.DUMMYFUNCTION("""COMPUTED_VALUE"""),"sushil_singla@yahoo.com")</f>
        <v>sushil_singla@yahoo.com</v>
      </c>
      <c r="G150" s="1">
        <f ca="1">IFERROR(__xludf.DUMMYFUNCTION("""COMPUTED_VALUE"""),9417344366)</f>
        <v>9417344366</v>
      </c>
    </row>
    <row r="151" spans="1:7" x14ac:dyDescent="0.3">
      <c r="A151" s="1" t="str">
        <f ca="1">IFERROR(__xludf.DUMMYFUNCTION("""COMPUTED_VALUE"""),"Governement Polytechnic College, Bathinda")</f>
        <v>Governement Polytechnic College, Bathinda</v>
      </c>
      <c r="B151" s="1" t="str">
        <f ca="1">IFERROR(__xludf.DUMMYFUNCTION("""COMPUTED_VALUE"""),"Bathinda")</f>
        <v>Bathinda</v>
      </c>
      <c r="C151" s="1" t="str">
        <f ca="1">IFERROR(__xludf.DUMMYFUNCTION("""COMPUTED_VALUE"""),"Electronics and Communications Engineering")</f>
        <v>Electronics and Communications Engineering</v>
      </c>
      <c r="D151" s="1" t="str">
        <f ca="1">IFERROR(__xludf.DUMMYFUNCTION("""COMPUTED_VALUE"""),"Suxam Singla")</f>
        <v>Suxam Singla</v>
      </c>
      <c r="E151" s="1" t="str">
        <f ca="1">IFERROR(__xludf.DUMMYFUNCTION("""COMPUTED_VALUE"""),"Lecturer")</f>
        <v>Lecturer</v>
      </c>
      <c r="F151" s="1" t="str">
        <f ca="1">IFERROR(__xludf.DUMMYFUNCTION("""COMPUTED_VALUE"""),"Suxamsingla@gmail.com")</f>
        <v>Suxamsingla@gmail.com</v>
      </c>
      <c r="G151" s="1">
        <f ca="1">IFERROR(__xludf.DUMMYFUNCTION("""COMPUTED_VALUE"""),9877034042)</f>
        <v>9877034042</v>
      </c>
    </row>
    <row r="152" spans="1:7" x14ac:dyDescent="0.3">
      <c r="A152" s="1" t="str">
        <f ca="1">IFERROR(__xludf.DUMMYFUNCTION("""COMPUTED_VALUE"""),"Governement Polytechnic College, Bathinda")</f>
        <v>Governement Polytechnic College, Bathinda</v>
      </c>
      <c r="B152" s="1" t="str">
        <f ca="1">IFERROR(__xludf.DUMMYFUNCTION("""COMPUTED_VALUE"""),"Bathinda")</f>
        <v>Bathinda</v>
      </c>
      <c r="C152" s="1" t="str">
        <f ca="1">IFERROR(__xludf.DUMMYFUNCTION("""COMPUTED_VALUE"""),"Mechanical Engineering")</f>
        <v>Mechanical Engineering</v>
      </c>
      <c r="D152" s="1" t="str">
        <f ca="1">IFERROR(__xludf.DUMMYFUNCTION("""COMPUTED_VALUE"""),"Varinder Singh")</f>
        <v>Varinder Singh</v>
      </c>
      <c r="E152" s="1" t="str">
        <f ca="1">IFERROR(__xludf.DUMMYFUNCTION("""COMPUTED_VALUE"""),"Lecturer")</f>
        <v>Lecturer</v>
      </c>
      <c r="F152" s="1" t="str">
        <f ca="1">IFERROR(__xludf.DUMMYFUNCTION("""COMPUTED_VALUE"""),"ervarinder53@gmail.com")</f>
        <v>ervarinder53@gmail.com</v>
      </c>
      <c r="G152" s="1">
        <f ca="1">IFERROR(__xludf.DUMMYFUNCTION("""COMPUTED_VALUE"""),7814259022)</f>
        <v>7814259022</v>
      </c>
    </row>
    <row r="153" spans="1:7" x14ac:dyDescent="0.3">
      <c r="A153" s="1" t="str">
        <f ca="1">IFERROR(__xludf.DUMMYFUNCTION("""COMPUTED_VALUE"""),"Governement Polytechnic College, Bathinda")</f>
        <v>Governement Polytechnic College, Bathinda</v>
      </c>
      <c r="B153" s="1" t="str">
        <f ca="1">IFERROR(__xludf.DUMMYFUNCTION("""COMPUTED_VALUE"""),"Bathinda")</f>
        <v>Bathinda</v>
      </c>
      <c r="C153" s="1" t="str">
        <f ca="1">IFERROR(__xludf.DUMMYFUNCTION("""COMPUTED_VALUE"""),"Civil Engineering")</f>
        <v>Civil Engineering</v>
      </c>
      <c r="D153" s="1" t="str">
        <f ca="1">IFERROR(__xludf.DUMMYFUNCTION("""COMPUTED_VALUE"""),"Vidur Monga")</f>
        <v>Vidur Monga</v>
      </c>
      <c r="E153" s="1" t="str">
        <f ca="1">IFERROR(__xludf.DUMMYFUNCTION("""COMPUTED_VALUE"""),"Lecturer")</f>
        <v>Lecturer</v>
      </c>
      <c r="F153" s="1" t="str">
        <f ca="1">IFERROR(__xludf.DUMMYFUNCTION("""COMPUTED_VALUE"""),"vidur.monga03@gmail.com")</f>
        <v>vidur.monga03@gmail.com</v>
      </c>
      <c r="G153" s="1">
        <f ca="1">IFERROR(__xludf.DUMMYFUNCTION("""COMPUTED_VALUE"""),7307098754)</f>
        <v>7307098754</v>
      </c>
    </row>
    <row r="154" spans="1:7" x14ac:dyDescent="0.3">
      <c r="A154" s="1" t="str">
        <f ca="1">IFERROR(__xludf.DUMMYFUNCTION("""COMPUTED_VALUE"""),"Governement Polytechnic College, Bathinda")</f>
        <v>Governement Polytechnic College, Bathinda</v>
      </c>
      <c r="B154" s="1" t="str">
        <f ca="1">IFERROR(__xludf.DUMMYFUNCTION("""COMPUTED_VALUE"""),"Bathinda")</f>
        <v>Bathinda</v>
      </c>
      <c r="C154" s="1" t="str">
        <f ca="1">IFERROR(__xludf.DUMMYFUNCTION("""COMPUTED_VALUE"""),"Architecture Assistanceship")</f>
        <v>Architecture Assistanceship</v>
      </c>
      <c r="D154" s="1" t="str">
        <f ca="1">IFERROR(__xludf.DUMMYFUNCTION("""COMPUTED_VALUE"""),"Yogita Gupta")</f>
        <v>Yogita Gupta</v>
      </c>
      <c r="E154" s="1" t="str">
        <f ca="1">IFERROR(__xludf.DUMMYFUNCTION("""COMPUTED_VALUE"""),"Lecturer")</f>
        <v>Lecturer</v>
      </c>
      <c r="F154" s="1" t="str">
        <f ca="1">IFERROR(__xludf.DUMMYFUNCTION("""COMPUTED_VALUE"""),"archi.yogita@gmail.com")</f>
        <v>archi.yogita@gmail.com</v>
      </c>
      <c r="G154" s="1">
        <f ca="1">IFERROR(__xludf.DUMMYFUNCTION("""COMPUTED_VALUE"""),9356596000)</f>
        <v>9356596000</v>
      </c>
    </row>
    <row r="155" spans="1:7" x14ac:dyDescent="0.3">
      <c r="A155" s="1" t="str">
        <f ca="1">IFERROR(__xludf.DUMMYFUNCTION("""COMPUTED_VALUE"""),"Governement Polytechnic College, Bathinda")</f>
        <v>Governement Polytechnic College, Bathinda</v>
      </c>
      <c r="B155" s="1" t="str">
        <f ca="1">IFERROR(__xludf.DUMMYFUNCTION("""COMPUTED_VALUE"""),"Bathinda")</f>
        <v>Bathinda</v>
      </c>
      <c r="C155" s="1" t="str">
        <f ca="1">IFERROR(__xludf.DUMMYFUNCTION("""COMPUTED_VALUE"""),"Electronics and Communications Engineering")</f>
        <v>Electronics and Communications Engineering</v>
      </c>
      <c r="D155" s="1" t="str">
        <f ca="1">IFERROR(__xludf.DUMMYFUNCTION("""COMPUTED_VALUE"""),"Himshikha")</f>
        <v>Himshikha</v>
      </c>
      <c r="E155" s="1" t="str">
        <f ca="1">IFERROR(__xludf.DUMMYFUNCTION("""COMPUTED_VALUE"""),"Lecturer")</f>
        <v>Lecturer</v>
      </c>
      <c r="F155" s="1" t="str">
        <f ca="1">IFERROR(__xludf.DUMMYFUNCTION("""COMPUTED_VALUE"""),"ghimshikha23@gmail.com")</f>
        <v>ghimshikha23@gmail.com</v>
      </c>
      <c r="G155" s="1">
        <f ca="1">IFERROR(__xludf.DUMMYFUNCTION("""COMPUTED_VALUE"""),7888507447)</f>
        <v>7888507447</v>
      </c>
    </row>
    <row r="156" spans="1:7" x14ac:dyDescent="0.3">
      <c r="A156" s="1" t="str">
        <f ca="1">IFERROR(__xludf.DUMMYFUNCTION("""COMPUTED_VALUE"""),"Governement Polytechnic College, Bathinda")</f>
        <v>Governement Polytechnic College, Bathinda</v>
      </c>
      <c r="B156" s="1" t="str">
        <f ca="1">IFERROR(__xludf.DUMMYFUNCTION("""COMPUTED_VALUE"""),"Bathinda")</f>
        <v>Bathinda</v>
      </c>
      <c r="C156" s="1" t="str">
        <f ca="1">IFERROR(__xludf.DUMMYFUNCTION("""COMPUTED_VALUE"""),"Computer Science and Engineering")</f>
        <v>Computer Science and Engineering</v>
      </c>
      <c r="D156" s="1" t="str">
        <f ca="1">IFERROR(__xludf.DUMMYFUNCTION("""COMPUTED_VALUE"""),"Sukhpal  Kaur")</f>
        <v>Sukhpal  Kaur</v>
      </c>
      <c r="E156" s="1" t="str">
        <f ca="1">IFERROR(__xludf.DUMMYFUNCTION("""COMPUTED_VALUE"""),"Lecturer")</f>
        <v>Lecturer</v>
      </c>
      <c r="F156" s="1" t="str">
        <f ca="1">IFERROR(__xludf.DUMMYFUNCTION("""COMPUTED_VALUE"""),"Sukhpal91@gmail.com")</f>
        <v>Sukhpal91@gmail.com</v>
      </c>
      <c r="G156" s="1">
        <f ca="1">IFERROR(__xludf.DUMMYFUNCTION("""COMPUTED_VALUE"""),8054039400)</f>
        <v>8054039400</v>
      </c>
    </row>
    <row r="157" spans="1:7" x14ac:dyDescent="0.3">
      <c r="A157" s="1" t="str">
        <f ca="1">IFERROR(__xludf.DUMMYFUNCTION("""COMPUTED_VALUE"""),"Governement Polytechnic College, Bathinda")</f>
        <v>Governement Polytechnic College, Bathinda</v>
      </c>
      <c r="B157" s="1" t="str">
        <f ca="1">IFERROR(__xludf.DUMMYFUNCTION("""COMPUTED_VALUE"""),"Bathinda")</f>
        <v>Bathinda</v>
      </c>
      <c r="C157" s="1" t="str">
        <f ca="1">IFERROR(__xludf.DUMMYFUNCTION("""COMPUTED_VALUE"""),"Electronics and Communications Engineering")</f>
        <v>Electronics and Communications Engineering</v>
      </c>
      <c r="D157" s="1" t="str">
        <f ca="1">IFERROR(__xludf.DUMMYFUNCTION("""COMPUTED_VALUE"""),"Lovkesh Kumar ")</f>
        <v xml:space="preserve">Lovkesh Kumar </v>
      </c>
      <c r="E157" s="1" t="str">
        <f ca="1">IFERROR(__xludf.DUMMYFUNCTION("""COMPUTED_VALUE"""),"HOD ")</f>
        <v xml:space="preserve">HOD </v>
      </c>
      <c r="F157" s="1" t="str">
        <f ca="1">IFERROR(__xludf.DUMMYFUNCTION("""COMPUTED_VALUE"""),"lovkesh68maini@gmail.com")</f>
        <v>lovkesh68maini@gmail.com</v>
      </c>
      <c r="G157" s="1">
        <f ca="1">IFERROR(__xludf.DUMMYFUNCTION("""COMPUTED_VALUE"""),9914428300)</f>
        <v>9914428300</v>
      </c>
    </row>
    <row r="158" spans="1:7" x14ac:dyDescent="0.3">
      <c r="A158" s="1" t="str">
        <f ca="1">IFERROR(__xludf.DUMMYFUNCTION("""COMPUTED_VALUE"""),"Governement Polytechnic College, Bathinda")</f>
        <v>Governement Polytechnic College, Bathinda</v>
      </c>
      <c r="B158" s="1" t="str">
        <f ca="1">IFERROR(__xludf.DUMMYFUNCTION("""COMPUTED_VALUE"""),"Bathinda")</f>
        <v>Bathinda</v>
      </c>
      <c r="C158" s="1" t="str">
        <f ca="1">IFERROR(__xludf.DUMMYFUNCTION("""COMPUTED_VALUE"""),"Electronics and Communications Engineering")</f>
        <v>Electronics and Communications Engineering</v>
      </c>
      <c r="D158" s="1" t="str">
        <f ca="1">IFERROR(__xludf.DUMMYFUNCTION("""COMPUTED_VALUE"""),"Jashanpreet Singh")</f>
        <v>Jashanpreet Singh</v>
      </c>
      <c r="E158" s="1" t="str">
        <f ca="1">IFERROR(__xludf.DUMMYFUNCTION("""COMPUTED_VALUE"""),"Sr.Lecturer")</f>
        <v>Sr.Lecturer</v>
      </c>
      <c r="F158" s="1" t="str">
        <f ca="1">IFERROR(__xludf.DUMMYFUNCTION("""COMPUTED_VALUE"""),"jashanpreetkingra86@gmail.com")</f>
        <v>jashanpreetkingra86@gmail.com</v>
      </c>
      <c r="G158" s="1">
        <f ca="1">IFERROR(__xludf.DUMMYFUNCTION("""COMPUTED_VALUE"""),8283806120)</f>
        <v>8283806120</v>
      </c>
    </row>
    <row r="159" spans="1:7" x14ac:dyDescent="0.3">
      <c r="A159" s="1" t="str">
        <f ca="1">IFERROR(__xludf.DUMMYFUNCTION("""COMPUTED_VALUE"""),"Governement Polytechnic College, Bathinda")</f>
        <v>Governement Polytechnic College, Bathinda</v>
      </c>
      <c r="B159" s="1" t="str">
        <f ca="1">IFERROR(__xludf.DUMMYFUNCTION("""COMPUTED_VALUE"""),"Bathinda")</f>
        <v>Bathinda</v>
      </c>
      <c r="C159" s="1" t="str">
        <f ca="1">IFERROR(__xludf.DUMMYFUNCTION("""COMPUTED_VALUE"""),"Mechanical Engineering")</f>
        <v>Mechanical Engineering</v>
      </c>
      <c r="D159" s="1" t="str">
        <f ca="1">IFERROR(__xludf.DUMMYFUNCTION("""COMPUTED_VALUE"""),"Harjeev Khanna ")</f>
        <v xml:space="preserve">Harjeev Khanna </v>
      </c>
      <c r="E159" s="1" t="str">
        <f ca="1">IFERROR(__xludf.DUMMYFUNCTION("""COMPUTED_VALUE"""),"HOD")</f>
        <v>HOD</v>
      </c>
      <c r="F159" s="1" t="str">
        <f ca="1">IFERROR(__xludf.DUMMYFUNCTION("""COMPUTED_VALUE"""),"hkkhanna_hod2008@yahoo.com")</f>
        <v>hkkhanna_hod2008@yahoo.com</v>
      </c>
      <c r="G159" s="1">
        <f ca="1">IFERROR(__xludf.DUMMYFUNCTION("""COMPUTED_VALUE"""),9915455250)</f>
        <v>9915455250</v>
      </c>
    </row>
    <row r="160" spans="1:7" x14ac:dyDescent="0.3">
      <c r="A160" s="1" t="str">
        <f ca="1">IFERROR(__xludf.DUMMYFUNCTION("""COMPUTED_VALUE"""),"Government Polytechnic College,Bathinda ")</f>
        <v xml:space="preserve">Government Polytechnic College,Bathinda </v>
      </c>
      <c r="B160" s="1" t="str">
        <f ca="1">IFERROR(__xludf.DUMMYFUNCTION("""COMPUTED_VALUE"""),"Bathinda ")</f>
        <v xml:space="preserve">Bathinda </v>
      </c>
      <c r="C160" s="1" t="str">
        <f ca="1">IFERROR(__xludf.DUMMYFUNCTION("""COMPUTED_VALUE"""),"Electrical Engineering ")</f>
        <v xml:space="preserve">Electrical Engineering </v>
      </c>
      <c r="D160" s="1" t="str">
        <f ca="1">IFERROR(__xludf.DUMMYFUNCTION("""COMPUTED_VALUE"""),"Deep Shikha Garg ")</f>
        <v xml:space="preserve">Deep Shikha Garg </v>
      </c>
      <c r="E160" s="1" t="str">
        <f ca="1">IFERROR(__xludf.DUMMYFUNCTION("""COMPUTED_VALUE"""),"HOD")</f>
        <v>HOD</v>
      </c>
      <c r="F160" s="1" t="str">
        <f ca="1">IFERROR(__xludf.DUMMYFUNCTION("""COMPUTED_VALUE"""),"erdeepshikha@rediffmail.com")</f>
        <v>erdeepshikha@rediffmail.com</v>
      </c>
      <c r="G160" s="1">
        <f ca="1">IFERROR(__xludf.DUMMYFUNCTION("""COMPUTED_VALUE"""),9464154641)</f>
        <v>9464154641</v>
      </c>
    </row>
    <row r="161" spans="1:7" x14ac:dyDescent="0.3">
      <c r="A161" s="1" t="str">
        <f ca="1">IFERROR(__xludf.DUMMYFUNCTION("""COMPUTED_VALUE"""),"Government Polytechnic College,Bathinda ")</f>
        <v xml:space="preserve">Government Polytechnic College,Bathinda </v>
      </c>
      <c r="B161" s="1" t="str">
        <f ca="1">IFERROR(__xludf.DUMMYFUNCTION("""COMPUTED_VALUE"""),"Bathinda")</f>
        <v>Bathinda</v>
      </c>
      <c r="C161" s="1" t="str">
        <f ca="1">IFERROR(__xludf.DUMMYFUNCTION("""COMPUTED_VALUE"""),"Information Technology")</f>
        <v>Information Technology</v>
      </c>
      <c r="D161" s="1" t="str">
        <f ca="1">IFERROR(__xludf.DUMMYFUNCTION("""COMPUTED_VALUE"""),"Manjit Singh Bhullar")</f>
        <v>Manjit Singh Bhullar</v>
      </c>
      <c r="E161" s="1" t="str">
        <f ca="1">IFERROR(__xludf.DUMMYFUNCTION("""COMPUTED_VALUE"""),"HOD")</f>
        <v>HOD</v>
      </c>
      <c r="F161" s="1" t="str">
        <f ca="1">IFERROR(__xludf.DUMMYFUNCTION("""COMPUTED_VALUE"""),"bhullarmanjitsingh@gmail.com")</f>
        <v>bhullarmanjitsingh@gmail.com</v>
      </c>
      <c r="G161" s="1">
        <f ca="1">IFERROR(__xludf.DUMMYFUNCTION("""COMPUTED_VALUE"""),9417147708)</f>
        <v>9417147708</v>
      </c>
    </row>
    <row r="162" spans="1:7" x14ac:dyDescent="0.3">
      <c r="A162" s="1" t="str">
        <f ca="1">IFERROR(__xludf.DUMMYFUNCTION("""COMPUTED_VALUE"""),"Government Polytechnic College,Bathinda ")</f>
        <v xml:space="preserve">Government Polytechnic College,Bathinda </v>
      </c>
      <c r="B162" s="1" t="str">
        <f ca="1">IFERROR(__xludf.DUMMYFUNCTION("""COMPUTED_VALUE"""),"Bathinda")</f>
        <v>Bathinda</v>
      </c>
      <c r="C162" s="1" t="str">
        <f ca="1">IFERROR(__xludf.DUMMYFUNCTION("""COMPUTED_VALUE"""),"Civil Engineering")</f>
        <v>Civil Engineering</v>
      </c>
      <c r="D162" s="1" t="str">
        <f ca="1">IFERROR(__xludf.DUMMYFUNCTION("""COMPUTED_VALUE"""),"Sarbjeet Kaur")</f>
        <v>Sarbjeet Kaur</v>
      </c>
      <c r="E162" s="1" t="str">
        <f ca="1">IFERROR(__xludf.DUMMYFUNCTION("""COMPUTED_VALUE"""),"HOD")</f>
        <v>HOD</v>
      </c>
      <c r="F162" s="1" t="str">
        <f ca="1">IFERROR(__xludf.DUMMYFUNCTION("""COMPUTED_VALUE"""),"sarabjit_73@yahoo.com")</f>
        <v>sarabjit_73@yahoo.com</v>
      </c>
      <c r="G162" s="1">
        <f ca="1">IFERROR(__xludf.DUMMYFUNCTION("""COMPUTED_VALUE"""),9501108710)</f>
        <v>9501108710</v>
      </c>
    </row>
    <row r="163" spans="1:7" x14ac:dyDescent="0.3">
      <c r="A163" s="1" t="str">
        <f ca="1">IFERROR(__xludf.DUMMYFUNCTION("""COMPUTED_VALUE"""),"Governement Polytechnic College, Ranwan")</f>
        <v>Governement Polytechnic College, Ranwan</v>
      </c>
      <c r="B163" s="1" t="str">
        <f ca="1">IFERROR(__xludf.DUMMYFUNCTION("""COMPUTED_VALUE"""),"Fatehgarh Sahib")</f>
        <v>Fatehgarh Sahib</v>
      </c>
      <c r="C163" s="1" t="str">
        <f ca="1">IFERROR(__xludf.DUMMYFUNCTION("""COMPUTED_VALUE"""),"Principal")</f>
        <v>Principal</v>
      </c>
      <c r="D163" s="1" t="str">
        <f ca="1">IFERROR(__xludf.DUMMYFUNCTION("""COMPUTED_VALUE"""),"Kanwaldeep Kaur")</f>
        <v>Kanwaldeep Kaur</v>
      </c>
      <c r="E163" s="1" t="str">
        <f ca="1">IFERROR(__xludf.DUMMYFUNCTION("""COMPUTED_VALUE"""),"Principal")</f>
        <v>Principal</v>
      </c>
      <c r="F163" s="1" t="str">
        <f ca="1">IFERROR(__xludf.DUMMYFUNCTION("""COMPUTED_VALUE"""),"kaurkanwaldeep@gmail.com")</f>
        <v>kaurkanwaldeep@gmail.com</v>
      </c>
      <c r="G163" s="1">
        <f ca="1">IFERROR(__xludf.DUMMYFUNCTION("""COMPUTED_VALUE"""),7986363955)</f>
        <v>7986363955</v>
      </c>
    </row>
    <row r="164" spans="1:7" x14ac:dyDescent="0.3">
      <c r="A164" s="1" t="str">
        <f ca="1">IFERROR(__xludf.DUMMYFUNCTION("""COMPUTED_VALUE"""),"Governement Polytechnic College, Ranwan")</f>
        <v>Governement Polytechnic College, Ranwan</v>
      </c>
      <c r="B164" s="1" t="str">
        <f ca="1">IFERROR(__xludf.DUMMYFUNCTION("""COMPUTED_VALUE"""),"Fatehgarh Sahib")</f>
        <v>Fatehgarh Sahib</v>
      </c>
      <c r="C164" s="1" t="str">
        <f ca="1">IFERROR(__xludf.DUMMYFUNCTION("""COMPUTED_VALUE"""),"Applied Science")</f>
        <v>Applied Science</v>
      </c>
      <c r="D164" s="1" t="str">
        <f ca="1">IFERROR(__xludf.DUMMYFUNCTION("""COMPUTED_VALUE"""),"Anchal Jain")</f>
        <v>Anchal Jain</v>
      </c>
      <c r="E164" s="1" t="str">
        <f ca="1">IFERROR(__xludf.DUMMYFUNCTION("""COMPUTED_VALUE"""),"Lecturer")</f>
        <v>Lecturer</v>
      </c>
      <c r="F164" s="1" t="str">
        <f ca="1">IFERROR(__xludf.DUMMYFUNCTION("""COMPUTED_VALUE"""),"ancjain.1993@gmail.com")</f>
        <v>ancjain.1993@gmail.com</v>
      </c>
      <c r="G164" s="1">
        <f ca="1">IFERROR(__xludf.DUMMYFUNCTION("""COMPUTED_VALUE"""),9988651053)</f>
        <v>9988651053</v>
      </c>
    </row>
    <row r="165" spans="1:7" x14ac:dyDescent="0.3">
      <c r="A165" s="1" t="str">
        <f ca="1">IFERROR(__xludf.DUMMYFUNCTION("""COMPUTED_VALUE"""),"Governement Polytechnic College, Ranwan")</f>
        <v>Governement Polytechnic College, Ranwan</v>
      </c>
      <c r="B165" s="1" t="str">
        <f ca="1">IFERROR(__xludf.DUMMYFUNCTION("""COMPUTED_VALUE"""),"Fatehgarh Sahib")</f>
        <v>Fatehgarh Sahib</v>
      </c>
      <c r="C165" s="1" t="str">
        <f ca="1">IFERROR(__xludf.DUMMYFUNCTION("""COMPUTED_VALUE"""),"Applied Science")</f>
        <v>Applied Science</v>
      </c>
      <c r="D165" s="1" t="str">
        <f ca="1">IFERROR(__xludf.DUMMYFUNCTION("""COMPUTED_VALUE"""),"Dalbir Singh")</f>
        <v>Dalbir Singh</v>
      </c>
      <c r="E165" s="1" t="str">
        <f ca="1">IFERROR(__xludf.DUMMYFUNCTION("""COMPUTED_VALUE"""),"Lecturer")</f>
        <v>Lecturer</v>
      </c>
      <c r="F165" s="1" t="str">
        <f ca="1">IFERROR(__xludf.DUMMYFUNCTION("""COMPUTED_VALUE"""),"1993dalbir@gmail.com")</f>
        <v>1993dalbir@gmail.com</v>
      </c>
      <c r="G165" s="1">
        <f ca="1">IFERROR(__xludf.DUMMYFUNCTION("""COMPUTED_VALUE"""),9417656609)</f>
        <v>9417656609</v>
      </c>
    </row>
    <row r="166" spans="1:7" x14ac:dyDescent="0.3">
      <c r="A166" s="1" t="str">
        <f ca="1">IFERROR(__xludf.DUMMYFUNCTION("""COMPUTED_VALUE"""),"Governement Polytechnic College, Ranwan")</f>
        <v>Governement Polytechnic College, Ranwan</v>
      </c>
      <c r="B166" s="1" t="str">
        <f ca="1">IFERROR(__xludf.DUMMYFUNCTION("""COMPUTED_VALUE"""),"Fatehgarh Sahib")</f>
        <v>Fatehgarh Sahib</v>
      </c>
      <c r="C166" s="1" t="str">
        <f ca="1">IFERROR(__xludf.DUMMYFUNCTION("""COMPUTED_VALUE"""),"Applied Science")</f>
        <v>Applied Science</v>
      </c>
      <c r="D166" s="1" t="str">
        <f ca="1">IFERROR(__xludf.DUMMYFUNCTION("""COMPUTED_VALUE"""),"Daljot Singh")</f>
        <v>Daljot Singh</v>
      </c>
      <c r="E166" s="1" t="str">
        <f ca="1">IFERROR(__xludf.DUMMYFUNCTION("""COMPUTED_VALUE"""),"Lecturer")</f>
        <v>Lecturer</v>
      </c>
      <c r="F166" s="1" t="str">
        <f ca="1">IFERROR(__xludf.DUMMYFUNCTION("""COMPUTED_VALUE"""),"daljotsinghkang12@gmail.com")</f>
        <v>daljotsinghkang12@gmail.com</v>
      </c>
      <c r="G166" s="1">
        <f ca="1">IFERROR(__xludf.DUMMYFUNCTION("""COMPUTED_VALUE"""),7814061852)</f>
        <v>7814061852</v>
      </c>
    </row>
    <row r="167" spans="1:7" x14ac:dyDescent="0.3">
      <c r="A167" s="1" t="str">
        <f ca="1">IFERROR(__xludf.DUMMYFUNCTION("""COMPUTED_VALUE"""),"Governement Polytechnic College, Ranwan")</f>
        <v>Governement Polytechnic College, Ranwan</v>
      </c>
      <c r="B167" s="1" t="str">
        <f ca="1">IFERROR(__xludf.DUMMYFUNCTION("""COMPUTED_VALUE"""),"Fatehgarh Sahib")</f>
        <v>Fatehgarh Sahib</v>
      </c>
      <c r="C167" s="1" t="str">
        <f ca="1">IFERROR(__xludf.DUMMYFUNCTION("""COMPUTED_VALUE"""),"Applied Science")</f>
        <v>Applied Science</v>
      </c>
      <c r="D167" s="1" t="str">
        <f ca="1">IFERROR(__xludf.DUMMYFUNCTION("""COMPUTED_VALUE"""),"Gur Simrat Kaur")</f>
        <v>Gur Simrat Kaur</v>
      </c>
      <c r="E167" s="1" t="str">
        <f ca="1">IFERROR(__xludf.DUMMYFUNCTION("""COMPUTED_VALUE"""),"Lecturer")</f>
        <v>Lecturer</v>
      </c>
      <c r="F167" s="1" t="str">
        <f ca="1">IFERROR(__xludf.DUMMYFUNCTION("""COMPUTED_VALUE"""),"gursimrat89@gmail.com")</f>
        <v>gursimrat89@gmail.com</v>
      </c>
      <c r="G167" s="1">
        <f ca="1">IFERROR(__xludf.DUMMYFUNCTION("""COMPUTED_VALUE"""),8264510376)</f>
        <v>8264510376</v>
      </c>
    </row>
    <row r="168" spans="1:7" x14ac:dyDescent="0.3">
      <c r="A168" s="1" t="str">
        <f ca="1">IFERROR(__xludf.DUMMYFUNCTION("""COMPUTED_VALUE"""),"Governement Polytechnic College, Ranwan")</f>
        <v>Governement Polytechnic College, Ranwan</v>
      </c>
      <c r="B168" s="1" t="str">
        <f ca="1">IFERROR(__xludf.DUMMYFUNCTION("""COMPUTED_VALUE"""),"Fatehgarh Sahib")</f>
        <v>Fatehgarh Sahib</v>
      </c>
      <c r="C168" s="1" t="str">
        <f ca="1">IFERROR(__xludf.DUMMYFUNCTION("""COMPUTED_VALUE"""),"Applied Science")</f>
        <v>Applied Science</v>
      </c>
      <c r="D168" s="1" t="str">
        <f ca="1">IFERROR(__xludf.DUMMYFUNCTION("""COMPUTED_VALUE"""),"Jasbir Singh Braich")</f>
        <v>Jasbir Singh Braich</v>
      </c>
      <c r="E168" s="1" t="str">
        <f ca="1">IFERROR(__xludf.DUMMYFUNCTION("""COMPUTED_VALUE"""),"HOD")</f>
        <v>HOD</v>
      </c>
      <c r="F168" s="1" t="str">
        <f ca="1">IFERROR(__xludf.DUMMYFUNCTION("""COMPUTED_VALUE"""),"braichjasbir@gmail.com")</f>
        <v>braichjasbir@gmail.com</v>
      </c>
      <c r="G168" s="1">
        <f ca="1">IFERROR(__xludf.DUMMYFUNCTION("""COMPUTED_VALUE"""),9914140240)</f>
        <v>9914140240</v>
      </c>
    </row>
    <row r="169" spans="1:7" x14ac:dyDescent="0.3">
      <c r="A169" s="1" t="str">
        <f ca="1">IFERROR(__xludf.DUMMYFUNCTION("""COMPUTED_VALUE"""),"Governement Polytechnic College, Ranwan")</f>
        <v>Governement Polytechnic College, Ranwan</v>
      </c>
      <c r="B169" s="1" t="str">
        <f ca="1">IFERROR(__xludf.DUMMYFUNCTION("""COMPUTED_VALUE"""),"Fatehgarh Sahib")</f>
        <v>Fatehgarh Sahib</v>
      </c>
      <c r="C169" s="1" t="str">
        <f ca="1">IFERROR(__xludf.DUMMYFUNCTION("""COMPUTED_VALUE"""),"Applied Science")</f>
        <v>Applied Science</v>
      </c>
      <c r="D169" s="1" t="str">
        <f ca="1">IFERROR(__xludf.DUMMYFUNCTION("""COMPUTED_VALUE"""),"Sandeep Kaur")</f>
        <v>Sandeep Kaur</v>
      </c>
      <c r="E169" s="1" t="str">
        <f ca="1">IFERROR(__xludf.DUMMYFUNCTION("""COMPUTED_VALUE"""),"Sr. Lecturer")</f>
        <v>Sr. Lecturer</v>
      </c>
      <c r="F169" s="1" t="str">
        <f ca="1">IFERROR(__xludf.DUMMYFUNCTION("""COMPUTED_VALUE"""),"sandeepkaur73837@gmail.com")</f>
        <v>sandeepkaur73837@gmail.com</v>
      </c>
      <c r="G169" s="1">
        <f ca="1">IFERROR(__xludf.DUMMYFUNCTION("""COMPUTED_VALUE"""),7508020754)</f>
        <v>7508020754</v>
      </c>
    </row>
    <row r="170" spans="1:7" x14ac:dyDescent="0.3">
      <c r="A170" s="1" t="str">
        <f ca="1">IFERROR(__xludf.DUMMYFUNCTION("""COMPUTED_VALUE"""),"Governement Polytechnic College, Ranwan")</f>
        <v>Governement Polytechnic College, Ranwan</v>
      </c>
      <c r="B170" s="1" t="str">
        <f ca="1">IFERROR(__xludf.DUMMYFUNCTION("""COMPUTED_VALUE"""),"Fatehgarh Sahib")</f>
        <v>Fatehgarh Sahib</v>
      </c>
      <c r="C170" s="1" t="str">
        <f ca="1">IFERROR(__xludf.DUMMYFUNCTION("""COMPUTED_VALUE"""),"Applied Science")</f>
        <v>Applied Science</v>
      </c>
      <c r="D170" s="1" t="str">
        <f ca="1">IFERROR(__xludf.DUMMYFUNCTION("""COMPUTED_VALUE"""),"Sunita Rani")</f>
        <v>Sunita Rani</v>
      </c>
      <c r="E170" s="1" t="str">
        <f ca="1">IFERROR(__xludf.DUMMYFUNCTION("""COMPUTED_VALUE"""),"Lecturer")</f>
        <v>Lecturer</v>
      </c>
      <c r="F170" s="1" t="str">
        <f ca="1">IFERROR(__xludf.DUMMYFUNCTION("""COMPUTED_VALUE"""),"sunita12chaudhary@gmail.com")</f>
        <v>sunita12chaudhary@gmail.com</v>
      </c>
      <c r="G170" s="1">
        <f ca="1">IFERROR(__xludf.DUMMYFUNCTION("""COMPUTED_VALUE"""),8360137675)</f>
        <v>8360137675</v>
      </c>
    </row>
    <row r="171" spans="1:7" x14ac:dyDescent="0.3">
      <c r="A171" s="1" t="str">
        <f ca="1">IFERROR(__xludf.DUMMYFUNCTION("""COMPUTED_VALUE"""),"Governement Polytechnic College, Ranwan")</f>
        <v>Governement Polytechnic College, Ranwan</v>
      </c>
      <c r="B171" s="1" t="str">
        <f ca="1">IFERROR(__xludf.DUMMYFUNCTION("""COMPUTED_VALUE"""),"Fatehgarh Sahib")</f>
        <v>Fatehgarh Sahib</v>
      </c>
      <c r="C171" s="1" t="str">
        <f ca="1">IFERROR(__xludf.DUMMYFUNCTION("""COMPUTED_VALUE"""),"Computer Science and Engineering")</f>
        <v>Computer Science and Engineering</v>
      </c>
      <c r="D171" s="1" t="str">
        <f ca="1">IFERROR(__xludf.DUMMYFUNCTION("""COMPUTED_VALUE"""),"Navdeep Singh")</f>
        <v>Navdeep Singh</v>
      </c>
      <c r="E171" s="1" t="str">
        <f ca="1">IFERROR(__xludf.DUMMYFUNCTION("""COMPUTED_VALUE"""),"HOD")</f>
        <v>HOD</v>
      </c>
      <c r="F171" s="1" t="str">
        <f ca="1">IFERROR(__xludf.DUMMYFUNCTION("""COMPUTED_VALUE"""),"navdeep.dr@gmail.com")</f>
        <v>navdeep.dr@gmail.com</v>
      </c>
      <c r="G171" s="1">
        <f ca="1">IFERROR(__xludf.DUMMYFUNCTION("""COMPUTED_VALUE"""),9501296000)</f>
        <v>9501296000</v>
      </c>
    </row>
    <row r="172" spans="1:7" x14ac:dyDescent="0.3">
      <c r="A172" s="1" t="str">
        <f ca="1">IFERROR(__xludf.DUMMYFUNCTION("""COMPUTED_VALUE"""),"Governement Polytechnic College, Ranwan")</f>
        <v>Governement Polytechnic College, Ranwan</v>
      </c>
      <c r="B172" s="1" t="str">
        <f ca="1">IFERROR(__xludf.DUMMYFUNCTION("""COMPUTED_VALUE"""),"Fatehgarh Sahib")</f>
        <v>Fatehgarh Sahib</v>
      </c>
      <c r="C172" s="1" t="str">
        <f ca="1">IFERROR(__xludf.DUMMYFUNCTION("""COMPUTED_VALUE"""),"Computer Science and Engineering")</f>
        <v>Computer Science and Engineering</v>
      </c>
      <c r="D172" s="1" t="str">
        <f ca="1">IFERROR(__xludf.DUMMYFUNCTION("""COMPUTED_VALUE"""),"Harpreet Singh Sodhi")</f>
        <v>Harpreet Singh Sodhi</v>
      </c>
      <c r="E172" s="1" t="str">
        <f ca="1">IFERROR(__xludf.DUMMYFUNCTION("""COMPUTED_VALUE"""),"Sr. Lecturer ")</f>
        <v xml:space="preserve">Sr. Lecturer </v>
      </c>
      <c r="F172" s="1" t="str">
        <f ca="1">IFERROR(__xludf.DUMMYFUNCTION("""COMPUTED_VALUE"""),"sodhihar17@gmail.com")</f>
        <v>sodhihar17@gmail.com</v>
      </c>
      <c r="G172" s="1">
        <f ca="1">IFERROR(__xludf.DUMMYFUNCTION("""COMPUTED_VALUE"""),9878264092)</f>
        <v>9878264092</v>
      </c>
    </row>
    <row r="173" spans="1:7" x14ac:dyDescent="0.3">
      <c r="A173" s="1" t="str">
        <f ca="1">IFERROR(__xludf.DUMMYFUNCTION("""COMPUTED_VALUE"""),"Governement Polytechnic College, Ranwan")</f>
        <v>Governement Polytechnic College, Ranwan</v>
      </c>
      <c r="B173" s="1" t="str">
        <f ca="1">IFERROR(__xludf.DUMMYFUNCTION("""COMPUTED_VALUE"""),"Fatehgarh Sahib")</f>
        <v>Fatehgarh Sahib</v>
      </c>
      <c r="C173" s="1" t="str">
        <f ca="1">IFERROR(__xludf.DUMMYFUNCTION("""COMPUTED_VALUE"""),"Electrical Engineering")</f>
        <v>Electrical Engineering</v>
      </c>
      <c r="D173" s="1" t="str">
        <f ca="1">IFERROR(__xludf.DUMMYFUNCTION("""COMPUTED_VALUE"""),"Ajit Pal Singh")</f>
        <v>Ajit Pal Singh</v>
      </c>
      <c r="E173" s="1" t="str">
        <f ca="1">IFERROR(__xludf.DUMMYFUNCTION("""COMPUTED_VALUE"""),"HOD")</f>
        <v>HOD</v>
      </c>
      <c r="F173" s="1" t="str">
        <f ca="1">IFERROR(__xludf.DUMMYFUNCTION("""COMPUTED_VALUE"""),"ajitpal1111@gmail.com")</f>
        <v>ajitpal1111@gmail.com</v>
      </c>
      <c r="G173" s="1">
        <f ca="1">IFERROR(__xludf.DUMMYFUNCTION("""COMPUTED_VALUE"""),9815240205)</f>
        <v>9815240205</v>
      </c>
    </row>
    <row r="174" spans="1:7" x14ac:dyDescent="0.3">
      <c r="A174" s="1" t="str">
        <f ca="1">IFERROR(__xludf.DUMMYFUNCTION("""COMPUTED_VALUE"""),"Governement Polytechnic College, Ranwan")</f>
        <v>Governement Polytechnic College, Ranwan</v>
      </c>
      <c r="B174" s="1" t="str">
        <f ca="1">IFERROR(__xludf.DUMMYFUNCTION("""COMPUTED_VALUE"""),"Fatehgarh Sahib")</f>
        <v>Fatehgarh Sahib</v>
      </c>
      <c r="C174" s="1" t="str">
        <f ca="1">IFERROR(__xludf.DUMMYFUNCTION("""COMPUTED_VALUE"""),"Electrical Engineering")</f>
        <v>Electrical Engineering</v>
      </c>
      <c r="D174" s="1" t="str">
        <f ca="1">IFERROR(__xludf.DUMMYFUNCTION("""COMPUTED_VALUE"""),"Yash Pal Gupta")</f>
        <v>Yash Pal Gupta</v>
      </c>
      <c r="E174" s="1" t="str">
        <f ca="1">IFERROR(__xludf.DUMMYFUNCTION("""COMPUTED_VALUE"""),"Sr. Lecturer")</f>
        <v>Sr. Lecturer</v>
      </c>
      <c r="F174" s="1" t="str">
        <f ca="1">IFERROR(__xludf.DUMMYFUNCTION("""COMPUTED_VALUE"""),"guptayp1974@gmail.com")</f>
        <v>guptayp1974@gmail.com</v>
      </c>
      <c r="G174" s="1">
        <f ca="1">IFERROR(__xludf.DUMMYFUNCTION("""COMPUTED_VALUE"""),9463383303)</f>
        <v>9463383303</v>
      </c>
    </row>
    <row r="175" spans="1:7" x14ac:dyDescent="0.3">
      <c r="A175" s="1" t="str">
        <f ca="1">IFERROR(__xludf.DUMMYFUNCTION("""COMPUTED_VALUE"""),"Governement Polytechnic College, Ranwan")</f>
        <v>Governement Polytechnic College, Ranwan</v>
      </c>
      <c r="B175" s="1" t="str">
        <f ca="1">IFERROR(__xludf.DUMMYFUNCTION("""COMPUTED_VALUE"""),"Fatehgarh Sahib")</f>
        <v>Fatehgarh Sahib</v>
      </c>
      <c r="C175" s="1" t="str">
        <f ca="1">IFERROR(__xludf.DUMMYFUNCTION("""COMPUTED_VALUE"""),"Electrical Engineering")</f>
        <v>Electrical Engineering</v>
      </c>
      <c r="D175" s="1" t="str">
        <f ca="1">IFERROR(__xludf.DUMMYFUNCTION("""COMPUTED_VALUE"""),"Nripjit Kaur")</f>
        <v>Nripjit Kaur</v>
      </c>
      <c r="E175" s="1" t="str">
        <f ca="1">IFERROR(__xludf.DUMMYFUNCTION("""COMPUTED_VALUE"""),"Sr. Lecturer ")</f>
        <v xml:space="preserve">Sr. Lecturer </v>
      </c>
      <c r="F175" s="1" t="str">
        <f ca="1">IFERROR(__xludf.DUMMYFUNCTION("""COMPUTED_VALUE"""),"nripjitkaur@gmail.com")</f>
        <v>nripjitkaur@gmail.com</v>
      </c>
      <c r="G175" s="1">
        <f ca="1">IFERROR(__xludf.DUMMYFUNCTION("""COMPUTED_VALUE"""),9988673068)</f>
        <v>9988673068</v>
      </c>
    </row>
    <row r="176" spans="1:7" x14ac:dyDescent="0.3">
      <c r="A176" s="1" t="str">
        <f ca="1">IFERROR(__xludf.DUMMYFUNCTION("""COMPUTED_VALUE"""),"Governement Polytechnic College, Ranwan")</f>
        <v>Governement Polytechnic College, Ranwan</v>
      </c>
      <c r="B176" s="1" t="str">
        <f ca="1">IFERROR(__xludf.DUMMYFUNCTION("""COMPUTED_VALUE"""),"Fatehgarh Sahib")</f>
        <v>Fatehgarh Sahib</v>
      </c>
      <c r="C176" s="1" t="str">
        <f ca="1">IFERROR(__xludf.DUMMYFUNCTION("""COMPUTED_VALUE"""),"Electronics and Communications Engineering")</f>
        <v>Electronics and Communications Engineering</v>
      </c>
      <c r="D176" s="1" t="str">
        <f ca="1">IFERROR(__xludf.DUMMYFUNCTION("""COMPUTED_VALUE"""),"Navdeep Singh")</f>
        <v>Navdeep Singh</v>
      </c>
      <c r="E176" s="1" t="str">
        <f ca="1">IFERROR(__xludf.DUMMYFUNCTION("""COMPUTED_VALUE"""),"Lecturer")</f>
        <v>Lecturer</v>
      </c>
      <c r="F176" s="1" t="str">
        <f ca="1">IFERROR(__xludf.DUMMYFUNCTION("""COMPUTED_VALUE"""),"nsnagewal@gmail.com")</f>
        <v>nsnagewal@gmail.com</v>
      </c>
      <c r="G176" s="1">
        <f ca="1">IFERROR(__xludf.DUMMYFUNCTION("""COMPUTED_VALUE"""),8826975397)</f>
        <v>8826975397</v>
      </c>
    </row>
    <row r="177" spans="1:7" x14ac:dyDescent="0.3">
      <c r="A177" s="1" t="str">
        <f ca="1">IFERROR(__xludf.DUMMYFUNCTION("""COMPUTED_VALUE"""),"Governement Polytechnic College, Ranwan")</f>
        <v>Governement Polytechnic College, Ranwan</v>
      </c>
      <c r="B177" s="1" t="str">
        <f ca="1">IFERROR(__xludf.DUMMYFUNCTION("""COMPUTED_VALUE"""),"Fatehgarh Sahib")</f>
        <v>Fatehgarh Sahib</v>
      </c>
      <c r="C177" s="1" t="str">
        <f ca="1">IFERROR(__xludf.DUMMYFUNCTION("""COMPUTED_VALUE"""),"Electronics and Communications Engineering")</f>
        <v>Electronics and Communications Engineering</v>
      </c>
      <c r="D177" s="1" t="str">
        <f ca="1">IFERROR(__xludf.DUMMYFUNCTION("""COMPUTED_VALUE"""),"Nishu Kansal")</f>
        <v>Nishu Kansal</v>
      </c>
      <c r="E177" s="1" t="str">
        <f ca="1">IFERROR(__xludf.DUMMYFUNCTION("""COMPUTED_VALUE"""),"Lecturer")</f>
        <v>Lecturer</v>
      </c>
      <c r="F177" s="1" t="str">
        <f ca="1">IFERROR(__xludf.DUMMYFUNCTION("""COMPUTED_VALUE"""),"nishukansal25@gmail.com")</f>
        <v>nishukansal25@gmail.com</v>
      </c>
      <c r="G177" s="1">
        <f ca="1">IFERROR(__xludf.DUMMYFUNCTION("""COMPUTED_VALUE"""),7307227999)</f>
        <v>7307227999</v>
      </c>
    </row>
    <row r="178" spans="1:7" x14ac:dyDescent="0.3">
      <c r="A178" s="1" t="str">
        <f ca="1">IFERROR(__xludf.DUMMYFUNCTION("""COMPUTED_VALUE"""),"Governement Polytechnic College, Ranwan")</f>
        <v>Governement Polytechnic College, Ranwan</v>
      </c>
      <c r="B178" s="1" t="str">
        <f ca="1">IFERROR(__xludf.DUMMYFUNCTION("""COMPUTED_VALUE"""),"Fatehgarh Sahib")</f>
        <v>Fatehgarh Sahib</v>
      </c>
      <c r="C178" s="1" t="str">
        <f ca="1">IFERROR(__xludf.DUMMYFUNCTION("""COMPUTED_VALUE"""),"Electronics and Communications Engineering")</f>
        <v>Electronics and Communications Engineering</v>
      </c>
      <c r="D178" s="1" t="str">
        <f ca="1">IFERROR(__xludf.DUMMYFUNCTION("""COMPUTED_VALUE"""),"Parminder Kaur")</f>
        <v>Parminder Kaur</v>
      </c>
      <c r="E178" s="1" t="str">
        <f ca="1">IFERROR(__xludf.DUMMYFUNCTION("""COMPUTED_VALUE"""),"Lecturer")</f>
        <v>Lecturer</v>
      </c>
      <c r="F178" s="1" t="str">
        <f ca="1">IFERROR(__xludf.DUMMYFUNCTION("""COMPUTED_VALUE"""),"parminder1616@gmail.com")</f>
        <v>parminder1616@gmail.com</v>
      </c>
      <c r="G178" s="1">
        <f ca="1">IFERROR(__xludf.DUMMYFUNCTION("""COMPUTED_VALUE"""),7837403432)</f>
        <v>7837403432</v>
      </c>
    </row>
    <row r="179" spans="1:7" x14ac:dyDescent="0.3">
      <c r="A179" s="1" t="str">
        <f ca="1">IFERROR(__xludf.DUMMYFUNCTION("""COMPUTED_VALUE"""),"Governement Polytechnic College, Ranwan")</f>
        <v>Governement Polytechnic College, Ranwan</v>
      </c>
      <c r="B179" s="1" t="str">
        <f ca="1">IFERROR(__xludf.DUMMYFUNCTION("""COMPUTED_VALUE"""),"Fatehgarh Sahib")</f>
        <v>Fatehgarh Sahib</v>
      </c>
      <c r="C179" s="1" t="str">
        <f ca="1">IFERROR(__xludf.DUMMYFUNCTION("""COMPUTED_VALUE"""),"Electronics and Communications Engineering")</f>
        <v>Electronics and Communications Engineering</v>
      </c>
      <c r="D179" s="1" t="str">
        <f ca="1">IFERROR(__xludf.DUMMYFUNCTION("""COMPUTED_VALUE"""),"Kulwinder Singh")</f>
        <v>Kulwinder Singh</v>
      </c>
      <c r="E179" s="1" t="str">
        <f ca="1">IFERROR(__xludf.DUMMYFUNCTION("""COMPUTED_VALUE"""),"HOD")</f>
        <v>HOD</v>
      </c>
      <c r="F179" s="1" t="str">
        <f ca="1">IFERROR(__xludf.DUMMYFUNCTION("""COMPUTED_VALUE"""),"kulwinderpannu@gmail.com")</f>
        <v>kulwinderpannu@gmail.com</v>
      </c>
      <c r="G179" s="1">
        <f ca="1">IFERROR(__xludf.DUMMYFUNCTION("""COMPUTED_VALUE"""),9781300151)</f>
        <v>9781300151</v>
      </c>
    </row>
    <row r="180" spans="1:7" x14ac:dyDescent="0.3">
      <c r="A180" s="1" t="str">
        <f ca="1">IFERROR(__xludf.DUMMYFUNCTION("""COMPUTED_VALUE"""),"Governement Polytechnic College, Ranwan")</f>
        <v>Governement Polytechnic College, Ranwan</v>
      </c>
      <c r="B180" s="1" t="str">
        <f ca="1">IFERROR(__xludf.DUMMYFUNCTION("""COMPUTED_VALUE"""),"Fatehgarh Sahib")</f>
        <v>Fatehgarh Sahib</v>
      </c>
      <c r="C180" s="1" t="str">
        <f ca="1">IFERROR(__xludf.DUMMYFUNCTION("""COMPUTED_VALUE"""),"Mechanical Engineering")</f>
        <v>Mechanical Engineering</v>
      </c>
      <c r="D180" s="1" t="str">
        <f ca="1">IFERROR(__xludf.DUMMYFUNCTION("""COMPUTED_VALUE"""),"Arvind Chopra")</f>
        <v>Arvind Chopra</v>
      </c>
      <c r="E180" s="1" t="str">
        <f ca="1">IFERROR(__xludf.DUMMYFUNCTION("""COMPUTED_VALUE"""),"HOD")</f>
        <v>HOD</v>
      </c>
      <c r="F180" s="1" t="str">
        <f ca="1">IFERROR(__xludf.DUMMYFUNCTION("""COMPUTED_VALUE"""),"Arvindchopra3k@gmail.com")</f>
        <v>Arvindchopra3k@gmail.com</v>
      </c>
      <c r="G180" s="1">
        <f ca="1">IFERROR(__xludf.DUMMYFUNCTION("""COMPUTED_VALUE"""),9501023051)</f>
        <v>9501023051</v>
      </c>
    </row>
    <row r="181" spans="1:7" x14ac:dyDescent="0.3">
      <c r="A181" s="1" t="str">
        <f ca="1">IFERROR(__xludf.DUMMYFUNCTION("""COMPUTED_VALUE"""),"Governement Polytechnic College, Ranwan")</f>
        <v>Governement Polytechnic College, Ranwan</v>
      </c>
      <c r="B181" s="1" t="str">
        <f ca="1">IFERROR(__xludf.DUMMYFUNCTION("""COMPUTED_VALUE"""),"Fatehgarh Sahib")</f>
        <v>Fatehgarh Sahib</v>
      </c>
      <c r="C181" s="1" t="str">
        <f ca="1">IFERROR(__xludf.DUMMYFUNCTION("""COMPUTED_VALUE"""),"Mechanical Engineering")</f>
        <v>Mechanical Engineering</v>
      </c>
      <c r="D181" s="1" t="str">
        <f ca="1">IFERROR(__xludf.DUMMYFUNCTION("""COMPUTED_VALUE"""),"Gurdeep Singh")</f>
        <v>Gurdeep Singh</v>
      </c>
      <c r="E181" s="1" t="str">
        <f ca="1">IFERROR(__xludf.DUMMYFUNCTION("""COMPUTED_VALUE"""),"Lecturer")</f>
        <v>Lecturer</v>
      </c>
      <c r="F181" s="1" t="str">
        <f ca="1">IFERROR(__xludf.DUMMYFUNCTION("""COMPUTED_VALUE"""),"Gaggikatani@gmail.com")</f>
        <v>Gaggikatani@gmail.com</v>
      </c>
      <c r="G181" s="1">
        <f ca="1">IFERROR(__xludf.DUMMYFUNCTION("""COMPUTED_VALUE"""),9417945666)</f>
        <v>9417945666</v>
      </c>
    </row>
    <row r="182" spans="1:7" x14ac:dyDescent="0.3">
      <c r="A182" s="1" t="str">
        <f ca="1">IFERROR(__xludf.DUMMYFUNCTION("""COMPUTED_VALUE"""),"Governement Polytechnic College, Ranwan")</f>
        <v>Governement Polytechnic College, Ranwan</v>
      </c>
      <c r="B182" s="1" t="str">
        <f ca="1">IFERROR(__xludf.DUMMYFUNCTION("""COMPUTED_VALUE"""),"Fatehgarh Sahib")</f>
        <v>Fatehgarh Sahib</v>
      </c>
      <c r="C182" s="1" t="str">
        <f ca="1">IFERROR(__xludf.DUMMYFUNCTION("""COMPUTED_VALUE"""),"Mechanical Engineering")</f>
        <v>Mechanical Engineering</v>
      </c>
      <c r="D182" s="1" t="str">
        <f ca="1">IFERROR(__xludf.DUMMYFUNCTION("""COMPUTED_VALUE"""),"Gurinder Singh")</f>
        <v>Gurinder Singh</v>
      </c>
      <c r="E182" s="1" t="str">
        <f ca="1">IFERROR(__xludf.DUMMYFUNCTION("""COMPUTED_VALUE"""),"Lecturer")</f>
        <v>Lecturer</v>
      </c>
      <c r="F182" s="1" t="str">
        <f ca="1">IFERROR(__xludf.DUMMYFUNCTION("""COMPUTED_VALUE"""),"singhgurinder971@gmail.com")</f>
        <v>singhgurinder971@gmail.com</v>
      </c>
      <c r="G182" s="1">
        <f ca="1">IFERROR(__xludf.DUMMYFUNCTION("""COMPUTED_VALUE"""),8288956853)</f>
        <v>8288956853</v>
      </c>
    </row>
    <row r="183" spans="1:7" x14ac:dyDescent="0.3">
      <c r="A183" s="1" t="str">
        <f ca="1">IFERROR(__xludf.DUMMYFUNCTION("""COMPUTED_VALUE"""),"Governement Polytechnic College, Ranwan")</f>
        <v>Governement Polytechnic College, Ranwan</v>
      </c>
      <c r="B183" s="1" t="str">
        <f ca="1">IFERROR(__xludf.DUMMYFUNCTION("""COMPUTED_VALUE"""),"Fatehgarh Sahib")</f>
        <v>Fatehgarh Sahib</v>
      </c>
      <c r="C183" s="1" t="str">
        <f ca="1">IFERROR(__xludf.DUMMYFUNCTION("""COMPUTED_VALUE"""),"Mechanical Engineering")</f>
        <v>Mechanical Engineering</v>
      </c>
      <c r="D183" s="1" t="str">
        <f ca="1">IFERROR(__xludf.DUMMYFUNCTION("""COMPUTED_VALUE"""),"Kuldip Rai")</f>
        <v>Kuldip Rai</v>
      </c>
      <c r="E183" s="1" t="str">
        <f ca="1">IFERROR(__xludf.DUMMYFUNCTION("""COMPUTED_VALUE"""),"Sr. Lecturer")</f>
        <v>Sr. Lecturer</v>
      </c>
      <c r="F183" s="1" t="str">
        <f ca="1">IFERROR(__xludf.DUMMYFUNCTION("""COMPUTED_VALUE"""),"kuldiphrai@gmail.com")</f>
        <v>kuldiphrai@gmail.com</v>
      </c>
      <c r="G183" s="1">
        <f ca="1">IFERROR(__xludf.DUMMYFUNCTION("""COMPUTED_VALUE"""),9915866811)</f>
        <v>9915866811</v>
      </c>
    </row>
    <row r="184" spans="1:7" x14ac:dyDescent="0.3">
      <c r="A184" s="1" t="str">
        <f ca="1">IFERROR(__xludf.DUMMYFUNCTION("""COMPUTED_VALUE"""),"Governement Polytechnic College, Ranwan")</f>
        <v>Governement Polytechnic College, Ranwan</v>
      </c>
      <c r="B184" s="1" t="str">
        <f ca="1">IFERROR(__xludf.DUMMYFUNCTION("""COMPUTED_VALUE"""),"Fatehgarh Sahib")</f>
        <v>Fatehgarh Sahib</v>
      </c>
      <c r="C184" s="1" t="str">
        <f ca="1">IFERROR(__xludf.DUMMYFUNCTION("""COMPUTED_VALUE"""),"Workshop")</f>
        <v>Workshop</v>
      </c>
      <c r="D184" s="1" t="str">
        <f ca="1">IFERROR(__xludf.DUMMYFUNCTION("""COMPUTED_VALUE"""),"Ajai Pal Singh")</f>
        <v>Ajai Pal Singh</v>
      </c>
      <c r="E184" s="1" t="str">
        <f ca="1">IFERROR(__xludf.DUMMYFUNCTION("""COMPUTED_VALUE"""),"Foreman Instructor")</f>
        <v>Foreman Instructor</v>
      </c>
      <c r="F184" s="1" t="str">
        <f ca="1">IFERROR(__xludf.DUMMYFUNCTION("""COMPUTED_VALUE"""),"Ajaipal1804@gmail.com")</f>
        <v>Ajaipal1804@gmail.com</v>
      </c>
      <c r="G184" s="1">
        <f ca="1">IFERROR(__xludf.DUMMYFUNCTION("""COMPUTED_VALUE"""),9878663334)</f>
        <v>9878663334</v>
      </c>
    </row>
    <row r="185" spans="1:7" x14ac:dyDescent="0.3">
      <c r="A185" s="1" t="str">
        <f ca="1">IFERROR(__xludf.DUMMYFUNCTION("""COMPUTED_VALUE"""),"Governement Polytechnic College, Ranwan")</f>
        <v>Governement Polytechnic College, Ranwan</v>
      </c>
      <c r="B185" s="1" t="str">
        <f ca="1">IFERROR(__xludf.DUMMYFUNCTION("""COMPUTED_VALUE"""),"Fatehgarh Sahib")</f>
        <v>Fatehgarh Sahib</v>
      </c>
      <c r="C185" s="1" t="str">
        <f ca="1">IFERROR(__xludf.DUMMYFUNCTION("""COMPUTED_VALUE"""),"Workshop")</f>
        <v>Workshop</v>
      </c>
      <c r="D185" s="1" t="str">
        <f ca="1">IFERROR(__xludf.DUMMYFUNCTION("""COMPUTED_VALUE"""),"Ishwinder Kaur")</f>
        <v>Ishwinder Kaur</v>
      </c>
      <c r="E185" s="1" t="str">
        <f ca="1">IFERROR(__xludf.DUMMYFUNCTION("""COMPUTED_VALUE"""),"Workshop Instructor")</f>
        <v>Workshop Instructor</v>
      </c>
      <c r="F185" s="1" t="str">
        <f ca="1">IFERROR(__xludf.DUMMYFUNCTION("""COMPUTED_VALUE"""),"ishwinder72@gmail.com")</f>
        <v>ishwinder72@gmail.com</v>
      </c>
      <c r="G185" s="1">
        <f ca="1">IFERROR(__xludf.DUMMYFUNCTION("""COMPUTED_VALUE"""),9781450348)</f>
        <v>9781450348</v>
      </c>
    </row>
    <row r="186" spans="1:7" x14ac:dyDescent="0.3">
      <c r="A186" s="1" t="str">
        <f ca="1">IFERROR(__xludf.DUMMYFUNCTION("""COMPUTED_VALUE"""),"Governement Polytechnic College, Kotakpura")</f>
        <v>Governement Polytechnic College, Kotakpura</v>
      </c>
      <c r="B186" s="1" t="str">
        <f ca="1">IFERROR(__xludf.DUMMYFUNCTION("""COMPUTED_VALUE"""),"Faridkot")</f>
        <v>Faridkot</v>
      </c>
      <c r="C186" s="1" t="str">
        <f ca="1">IFERROR(__xludf.DUMMYFUNCTION("""COMPUTED_VALUE"""),"Applied Science")</f>
        <v>Applied Science</v>
      </c>
      <c r="D186" s="1" t="str">
        <f ca="1">IFERROR(__xludf.DUMMYFUNCTION("""COMPUTED_VALUE"""),"Anupama")</f>
        <v>Anupama</v>
      </c>
      <c r="E186" s="1" t="str">
        <f ca="1">IFERROR(__xludf.DUMMYFUNCTION("""COMPUTED_VALUE"""),"Lecturer")</f>
        <v>Lecturer</v>
      </c>
      <c r="F186" s="1" t="str">
        <f ca="1">IFERROR(__xludf.DUMMYFUNCTION("""COMPUTED_VALUE"""),"Anupamachopra77@gmail.com")</f>
        <v>Anupamachopra77@gmail.com</v>
      </c>
      <c r="G186" s="1">
        <f ca="1">IFERROR(__xludf.DUMMYFUNCTION("""COMPUTED_VALUE"""),9988080969)</f>
        <v>9988080969</v>
      </c>
    </row>
    <row r="187" spans="1:7" x14ac:dyDescent="0.3">
      <c r="A187" s="1" t="str">
        <f ca="1">IFERROR(__xludf.DUMMYFUNCTION("""COMPUTED_VALUE"""),"Governement Polytechnic College, Kotakpura")</f>
        <v>Governement Polytechnic College, Kotakpura</v>
      </c>
      <c r="B187" s="1" t="str">
        <f ca="1">IFERROR(__xludf.DUMMYFUNCTION("""COMPUTED_VALUE"""),"Faridkot")</f>
        <v>Faridkot</v>
      </c>
      <c r="C187" s="1" t="str">
        <f ca="1">IFERROR(__xludf.DUMMYFUNCTION("""COMPUTED_VALUE"""),"Computer Science and Engineering")</f>
        <v>Computer Science and Engineering</v>
      </c>
      <c r="D187" s="1" t="str">
        <f ca="1">IFERROR(__xludf.DUMMYFUNCTION("""COMPUTED_VALUE"""),"Harjit Kaur")</f>
        <v>Harjit Kaur</v>
      </c>
      <c r="E187" s="1" t="str">
        <f ca="1">IFERROR(__xludf.DUMMYFUNCTION("""COMPUTED_VALUE"""),"Lecturer")</f>
        <v>Lecturer</v>
      </c>
      <c r="F187" s="1" t="str">
        <f ca="1">IFERROR(__xludf.DUMMYFUNCTION("""COMPUTED_VALUE"""),"harjitkaurcse@gmail.com")</f>
        <v>harjitkaurcse@gmail.com</v>
      </c>
      <c r="G187" s="1">
        <f ca="1">IFERROR(__xludf.DUMMYFUNCTION("""COMPUTED_VALUE"""),7837338832)</f>
        <v>7837338832</v>
      </c>
    </row>
    <row r="188" spans="1:7" x14ac:dyDescent="0.3">
      <c r="A188" s="1" t="str">
        <f ca="1">IFERROR(__xludf.DUMMYFUNCTION("""COMPUTED_VALUE"""),"Governement Polytechnic College, Kotakpura")</f>
        <v>Governement Polytechnic College, Kotakpura</v>
      </c>
      <c r="B188" s="1" t="str">
        <f ca="1">IFERROR(__xludf.DUMMYFUNCTION("""COMPUTED_VALUE"""),"Faridkot")</f>
        <v>Faridkot</v>
      </c>
      <c r="C188" s="1" t="str">
        <f ca="1">IFERROR(__xludf.DUMMYFUNCTION("""COMPUTED_VALUE"""),"Electronics and Communications Engineering")</f>
        <v>Electronics and Communications Engineering</v>
      </c>
      <c r="D188" s="1" t="str">
        <f ca="1">IFERROR(__xludf.DUMMYFUNCTION("""COMPUTED_VALUE"""),"Manjit Singh Bhullar")</f>
        <v>Manjit Singh Bhullar</v>
      </c>
      <c r="E188" s="1" t="str">
        <f ca="1">IFERROR(__xludf.DUMMYFUNCTION("""COMPUTED_VALUE"""),"HOD")</f>
        <v>HOD</v>
      </c>
      <c r="F188" s="1" t="str">
        <f ca="1">IFERROR(__xludf.DUMMYFUNCTION("""COMPUTED_VALUE"""),"bhullarmanjitsingh@gmail.com")</f>
        <v>bhullarmanjitsingh@gmail.com</v>
      </c>
      <c r="G188" s="1">
        <f ca="1">IFERROR(__xludf.DUMMYFUNCTION("""COMPUTED_VALUE"""),9417147708)</f>
        <v>9417147708</v>
      </c>
    </row>
    <row r="189" spans="1:7" x14ac:dyDescent="0.3">
      <c r="A189" s="1" t="str">
        <f ca="1">IFERROR(__xludf.DUMMYFUNCTION("""COMPUTED_VALUE"""),"Governement Polytechnic College, Kotakpura")</f>
        <v>Governement Polytechnic College, Kotakpura</v>
      </c>
      <c r="B189" s="1" t="str">
        <f ca="1">IFERROR(__xludf.DUMMYFUNCTION("""COMPUTED_VALUE"""),"Faridkot")</f>
        <v>Faridkot</v>
      </c>
      <c r="C189" s="1" t="str">
        <f ca="1">IFERROR(__xludf.DUMMYFUNCTION("""COMPUTED_VALUE"""),"Applied Science")</f>
        <v>Applied Science</v>
      </c>
      <c r="D189" s="1" t="str">
        <f ca="1">IFERROR(__xludf.DUMMYFUNCTION("""COMPUTED_VALUE"""),"Manmohan Krishan")</f>
        <v>Manmohan Krishan</v>
      </c>
      <c r="E189" s="1" t="str">
        <f ca="1">IFERROR(__xludf.DUMMYFUNCTION("""COMPUTED_VALUE"""),"Sr. Lecturer")</f>
        <v>Sr. Lecturer</v>
      </c>
      <c r="F189" s="1" t="str">
        <f ca="1">IFERROR(__xludf.DUMMYFUNCTION("""COMPUTED_VALUE"""),"mkrishankkp@gmail.com")</f>
        <v>mkrishankkp@gmail.com</v>
      </c>
      <c r="G189" s="1">
        <f ca="1">IFERROR(__xludf.DUMMYFUNCTION("""COMPUTED_VALUE"""),9501677880)</f>
        <v>9501677880</v>
      </c>
    </row>
    <row r="190" spans="1:7" x14ac:dyDescent="0.3">
      <c r="A190" s="1" t="str">
        <f ca="1">IFERROR(__xludf.DUMMYFUNCTION("""COMPUTED_VALUE"""),"Governement Polytechnic College, Kotakpura")</f>
        <v>Governement Polytechnic College, Kotakpura</v>
      </c>
      <c r="B190" s="1" t="str">
        <f ca="1">IFERROR(__xludf.DUMMYFUNCTION("""COMPUTED_VALUE"""),"Faridkot")</f>
        <v>Faridkot</v>
      </c>
      <c r="C190" s="1" t="str">
        <f ca="1">IFERROR(__xludf.DUMMYFUNCTION("""COMPUTED_VALUE"""),"Electronics and Communications Engineering")</f>
        <v>Electronics and Communications Engineering</v>
      </c>
      <c r="D190" s="1" t="str">
        <f ca="1">IFERROR(__xludf.DUMMYFUNCTION("""COMPUTED_VALUE"""),"Navdeep Kaur")</f>
        <v>Navdeep Kaur</v>
      </c>
      <c r="E190" s="1" t="str">
        <f ca="1">IFERROR(__xludf.DUMMYFUNCTION("""COMPUTED_VALUE"""),"Lecturer")</f>
        <v>Lecturer</v>
      </c>
      <c r="F190" s="1" t="str">
        <f ca="1">IFERROR(__xludf.DUMMYFUNCTION("""COMPUTED_VALUE"""),"nvdpkauahal@gmail.com")</f>
        <v>nvdpkauahal@gmail.com</v>
      </c>
      <c r="G190" s="1">
        <f ca="1">IFERROR(__xludf.DUMMYFUNCTION("""COMPUTED_VALUE"""),9463608259)</f>
        <v>9463608259</v>
      </c>
    </row>
    <row r="191" spans="1:7" x14ac:dyDescent="0.3">
      <c r="A191" s="1" t="str">
        <f ca="1">IFERROR(__xludf.DUMMYFUNCTION("""COMPUTED_VALUE"""),"Governement Polytechnic College, Kotakpura")</f>
        <v>Governement Polytechnic College, Kotakpura</v>
      </c>
      <c r="B191" s="1" t="str">
        <f ca="1">IFERROR(__xludf.DUMMYFUNCTION("""COMPUTED_VALUE"""),"Faridkot")</f>
        <v>Faridkot</v>
      </c>
      <c r="C191" s="1" t="str">
        <f ca="1">IFERROR(__xludf.DUMMYFUNCTION("""COMPUTED_VALUE"""),"Electronics and Communications Engineering")</f>
        <v>Electronics and Communications Engineering</v>
      </c>
      <c r="D191" s="1" t="str">
        <f ca="1">IFERROR(__xludf.DUMMYFUNCTION("""COMPUTED_VALUE"""),"Navjot Kaur")</f>
        <v>Navjot Kaur</v>
      </c>
      <c r="E191" s="1" t="str">
        <f ca="1">IFERROR(__xludf.DUMMYFUNCTION("""COMPUTED_VALUE"""),"Lecturer")</f>
        <v>Lecturer</v>
      </c>
      <c r="F191" s="1" t="str">
        <f ca="1">IFERROR(__xludf.DUMMYFUNCTION("""COMPUTED_VALUE"""),"ecenavjot.kaur@gmail.com")</f>
        <v>ecenavjot.kaur@gmail.com</v>
      </c>
      <c r="G191" s="1">
        <f ca="1">IFERROR(__xludf.DUMMYFUNCTION("""COMPUTED_VALUE"""),6280016665)</f>
        <v>6280016665</v>
      </c>
    </row>
    <row r="192" spans="1:7" x14ac:dyDescent="0.3">
      <c r="A192" s="1" t="str">
        <f ca="1">IFERROR(__xludf.DUMMYFUNCTION("""COMPUTED_VALUE"""),"Governement Polytechnic College, Kotakpura")</f>
        <v>Governement Polytechnic College, Kotakpura</v>
      </c>
      <c r="B192" s="1" t="str">
        <f ca="1">IFERROR(__xludf.DUMMYFUNCTION("""COMPUTED_VALUE"""),"Faridkot")</f>
        <v>Faridkot</v>
      </c>
      <c r="C192" s="1" t="str">
        <f ca="1">IFERROR(__xludf.DUMMYFUNCTION("""COMPUTED_VALUE"""),"Applied Science")</f>
        <v>Applied Science</v>
      </c>
      <c r="D192" s="1" t="str">
        <f ca="1">IFERROR(__xludf.DUMMYFUNCTION("""COMPUTED_VALUE"""),"Nirmal Singh")</f>
        <v>Nirmal Singh</v>
      </c>
      <c r="E192" s="1" t="str">
        <f ca="1">IFERROR(__xludf.DUMMYFUNCTION("""COMPUTED_VALUE"""),"Lecturer")</f>
        <v>Lecturer</v>
      </c>
      <c r="F192" s="1" t="str">
        <f ca="1">IFERROR(__xludf.DUMMYFUNCTION("""COMPUTED_VALUE"""),"nirmals39@gmail.com")</f>
        <v>nirmals39@gmail.com</v>
      </c>
      <c r="G192" s="1">
        <f ca="1">IFERROR(__xludf.DUMMYFUNCTION("""COMPUTED_VALUE"""),7087204325)</f>
        <v>7087204325</v>
      </c>
    </row>
    <row r="193" spans="1:7" x14ac:dyDescent="0.3">
      <c r="A193" s="1" t="str">
        <f ca="1">IFERROR(__xludf.DUMMYFUNCTION("""COMPUTED_VALUE"""),"Governement Polytechnic College, Kotakpura")</f>
        <v>Governement Polytechnic College, Kotakpura</v>
      </c>
      <c r="B193" s="1" t="str">
        <f ca="1">IFERROR(__xludf.DUMMYFUNCTION("""COMPUTED_VALUE"""),"Faridkot")</f>
        <v>Faridkot</v>
      </c>
      <c r="C193" s="1" t="str">
        <f ca="1">IFERROR(__xludf.DUMMYFUNCTION("""COMPUTED_VALUE"""),"Computer Science and Engineering")</f>
        <v>Computer Science and Engineering</v>
      </c>
      <c r="D193" s="1" t="str">
        <f ca="1">IFERROR(__xludf.DUMMYFUNCTION("""COMPUTED_VALUE"""),"Puneet Mittal")</f>
        <v>Puneet Mittal</v>
      </c>
      <c r="E193" s="1" t="str">
        <f ca="1">IFERROR(__xludf.DUMMYFUNCTION("""COMPUTED_VALUE"""),"Lecturer")</f>
        <v>Lecturer</v>
      </c>
      <c r="F193" s="1" t="str">
        <f ca="1">IFERROR(__xludf.DUMMYFUNCTION("""COMPUTED_VALUE"""),"engg.puneet3400@gmail.com")</f>
        <v>engg.puneet3400@gmail.com</v>
      </c>
      <c r="G193" s="1">
        <f ca="1">IFERROR(__xludf.DUMMYFUNCTION("""COMPUTED_VALUE"""),9463266303)</f>
        <v>9463266303</v>
      </c>
    </row>
    <row r="194" spans="1:7" x14ac:dyDescent="0.3">
      <c r="A194" s="1" t="str">
        <f ca="1">IFERROR(__xludf.DUMMYFUNCTION("""COMPUTED_VALUE"""),"Governement Polytechnic College, Kotakpura")</f>
        <v>Governement Polytechnic College, Kotakpura</v>
      </c>
      <c r="B194" s="1" t="str">
        <f ca="1">IFERROR(__xludf.DUMMYFUNCTION("""COMPUTED_VALUE"""),"Faridkot")</f>
        <v>Faridkot</v>
      </c>
      <c r="C194" s="1" t="str">
        <f ca="1">IFERROR(__xludf.DUMMYFUNCTION("""COMPUTED_VALUE"""),"Computer Science and Engineering")</f>
        <v>Computer Science and Engineering</v>
      </c>
      <c r="D194" s="1" t="str">
        <f ca="1">IFERROR(__xludf.DUMMYFUNCTION("""COMPUTED_VALUE"""),"Satnam Singh")</f>
        <v>Satnam Singh</v>
      </c>
      <c r="E194" s="1" t="str">
        <f ca="1">IFERROR(__xludf.DUMMYFUNCTION("""COMPUTED_VALUE"""),"Lecturer")</f>
        <v>Lecturer</v>
      </c>
      <c r="F194" s="1" t="str">
        <f ca="1">IFERROR(__xludf.DUMMYFUNCTION("""COMPUTED_VALUE"""),"satnamattwal@gmail.com")</f>
        <v>satnamattwal@gmail.com</v>
      </c>
      <c r="G194" s="1">
        <f ca="1">IFERROR(__xludf.DUMMYFUNCTION("""COMPUTED_VALUE"""),7837057300)</f>
        <v>7837057300</v>
      </c>
    </row>
    <row r="195" spans="1:7" x14ac:dyDescent="0.3">
      <c r="A195" s="1" t="str">
        <f ca="1">IFERROR(__xludf.DUMMYFUNCTION("""COMPUTED_VALUE"""),"Governement Polytechnic College, Kotakpura")</f>
        <v>Governement Polytechnic College, Kotakpura</v>
      </c>
      <c r="B195" s="1" t="str">
        <f ca="1">IFERROR(__xludf.DUMMYFUNCTION("""COMPUTED_VALUE"""),"Faridkot")</f>
        <v>Faridkot</v>
      </c>
      <c r="C195" s="1" t="str">
        <f ca="1">IFERROR(__xludf.DUMMYFUNCTION("""COMPUTED_VALUE"""),"Computer Science and Engineering")</f>
        <v>Computer Science and Engineering</v>
      </c>
      <c r="D195" s="1" t="str">
        <f ca="1">IFERROR(__xludf.DUMMYFUNCTION("""COMPUTED_VALUE"""),"Sukhbir Kaur")</f>
        <v>Sukhbir Kaur</v>
      </c>
      <c r="E195" s="1" t="str">
        <f ca="1">IFERROR(__xludf.DUMMYFUNCTION("""COMPUTED_VALUE"""),"Lecturer")</f>
        <v>Lecturer</v>
      </c>
      <c r="F195" s="1" t="str">
        <f ca="1">IFERROR(__xludf.DUMMYFUNCTION("""COMPUTED_VALUE"""),"sukhbir.gpcg@gmail.com")</f>
        <v>sukhbir.gpcg@gmail.com</v>
      </c>
      <c r="G195" s="1">
        <f ca="1">IFERROR(__xludf.DUMMYFUNCTION("""COMPUTED_VALUE"""),9988266936)</f>
        <v>9988266936</v>
      </c>
    </row>
    <row r="196" spans="1:7" x14ac:dyDescent="0.3">
      <c r="A196" s="1" t="str">
        <f ca="1">IFERROR(__xludf.DUMMYFUNCTION("""COMPUTED_VALUE"""),"Governement Polytechnic College, Kotakpura")</f>
        <v>Governement Polytechnic College, Kotakpura</v>
      </c>
      <c r="B196" s="1" t="str">
        <f ca="1">IFERROR(__xludf.DUMMYFUNCTION("""COMPUTED_VALUE"""),"Faridkot")</f>
        <v>Faridkot</v>
      </c>
      <c r="C196" s="1" t="str">
        <f ca="1">IFERROR(__xludf.DUMMYFUNCTION("""COMPUTED_VALUE"""),"Chemical Engineering")</f>
        <v>Chemical Engineering</v>
      </c>
      <c r="D196" s="1" t="str">
        <f ca="1">IFERROR(__xludf.DUMMYFUNCTION("""COMPUTED_VALUE"""),"Suresh Kumar")</f>
        <v>Suresh Kumar</v>
      </c>
      <c r="E196" s="1" t="str">
        <f ca="1">IFERROR(__xludf.DUMMYFUNCTION("""COMPUTED_VALUE"""),"Principal")</f>
        <v>Principal</v>
      </c>
      <c r="F196" s="1" t="str">
        <f ca="1">IFERROR(__xludf.DUMMYFUNCTION("""COMPUTED_VALUE"""),"sureshkumar.kumar36@gmail.com")</f>
        <v>sureshkumar.kumar36@gmail.com</v>
      </c>
      <c r="G196" s="1">
        <f ca="1">IFERROR(__xludf.DUMMYFUNCTION("""COMPUTED_VALUE"""),9855001155)</f>
        <v>9855001155</v>
      </c>
    </row>
    <row r="197" spans="1:7" x14ac:dyDescent="0.3">
      <c r="A197" s="1" t="str">
        <f ca="1">IFERROR(__xludf.DUMMYFUNCTION("""COMPUTED_VALUE"""),"Governement Polytechnic College, Kotakpura")</f>
        <v>Governement Polytechnic College, Kotakpura</v>
      </c>
      <c r="B197" s="1" t="str">
        <f ca="1">IFERROR(__xludf.DUMMYFUNCTION("""COMPUTED_VALUE"""),"Faridkot")</f>
        <v>Faridkot</v>
      </c>
      <c r="C197" s="1" t="str">
        <f ca="1">IFERROR(__xludf.DUMMYFUNCTION("""COMPUTED_VALUE"""),"Electronics and Communications Engineering")</f>
        <v>Electronics and Communications Engineering</v>
      </c>
      <c r="D197" s="1" t="str">
        <f ca="1">IFERROR(__xludf.DUMMYFUNCTION("""COMPUTED_VALUE"""),"Gagan Sachdeva")</f>
        <v>Gagan Sachdeva</v>
      </c>
      <c r="E197" s="1" t="str">
        <f ca="1">IFERROR(__xludf.DUMMYFUNCTION("""COMPUTED_VALUE"""),"Lecturer")</f>
        <v>Lecturer</v>
      </c>
      <c r="F197" s="1" t="str">
        <f ca="1">IFERROR(__xludf.DUMMYFUNCTION("""COMPUTED_VALUE"""),"gagan.sachdeva04@gmail.com")</f>
        <v>gagan.sachdeva04@gmail.com</v>
      </c>
      <c r="G197" s="1">
        <f ca="1">IFERROR(__xludf.DUMMYFUNCTION("""COMPUTED_VALUE"""),6283008483)</f>
        <v>6283008483</v>
      </c>
    </row>
    <row r="198" spans="1:7" x14ac:dyDescent="0.3">
      <c r="A198" s="1" t="str">
        <f ca="1">IFERROR(__xludf.DUMMYFUNCTION("""COMPUTED_VALUE"""),"Governement Polytechnic College, Kotakpura")</f>
        <v>Governement Polytechnic College, Kotakpura</v>
      </c>
      <c r="B198" s="1" t="str">
        <f ca="1">IFERROR(__xludf.DUMMYFUNCTION("""COMPUTED_VALUE"""),"Faridkot")</f>
        <v>Faridkot</v>
      </c>
      <c r="C198" s="1" t="str">
        <f ca="1">IFERROR(__xludf.DUMMYFUNCTION("""COMPUTED_VALUE"""),"Electrical Engineering")</f>
        <v>Electrical Engineering</v>
      </c>
      <c r="D198" s="1" t="str">
        <f ca="1">IFERROR(__xludf.DUMMYFUNCTION("""COMPUTED_VALUE"""),"Ramanjeet Singh")</f>
        <v>Ramanjeet Singh</v>
      </c>
      <c r="E198" s="1" t="str">
        <f ca="1">IFERROR(__xludf.DUMMYFUNCTION("""COMPUTED_VALUE"""),"Lecturer")</f>
        <v>Lecturer</v>
      </c>
      <c r="F198" s="1" t="str">
        <f ca="1">IFERROR(__xludf.DUMMYFUNCTION("""COMPUTED_VALUE"""),"singhramanjeet43@gmail.com")</f>
        <v>singhramanjeet43@gmail.com</v>
      </c>
      <c r="G198" s="1">
        <f ca="1">IFERROR(__xludf.DUMMYFUNCTION("""COMPUTED_VALUE"""),7986536214)</f>
        <v>7986536214</v>
      </c>
    </row>
    <row r="199" spans="1:7" x14ac:dyDescent="0.3">
      <c r="A199" s="1" t="str">
        <f ca="1">IFERROR(__xludf.DUMMYFUNCTION("""COMPUTED_VALUE"""),"Governement Polytechnic College, Kotakpura")</f>
        <v>Governement Polytechnic College, Kotakpura</v>
      </c>
      <c r="B199" s="1" t="str">
        <f ca="1">IFERROR(__xludf.DUMMYFUNCTION("""COMPUTED_VALUE"""),"Faridkot")</f>
        <v>Faridkot</v>
      </c>
      <c r="C199" s="1" t="str">
        <f ca="1">IFERROR(__xludf.DUMMYFUNCTION("""COMPUTED_VALUE"""),"Electronics and Communications Engineering")</f>
        <v>Electronics and Communications Engineering</v>
      </c>
      <c r="D199" s="1" t="str">
        <f ca="1">IFERROR(__xludf.DUMMYFUNCTION("""COMPUTED_VALUE"""),"Lakhwinder Kaur Bhullar")</f>
        <v>Lakhwinder Kaur Bhullar</v>
      </c>
      <c r="E199" s="1" t="str">
        <f ca="1">IFERROR(__xludf.DUMMYFUNCTION("""COMPUTED_VALUE"""),"Lecturer")</f>
        <v>Lecturer</v>
      </c>
      <c r="F199" s="1" t="str">
        <f ca="1">IFERROR(__xludf.DUMMYFUNCTION("""COMPUTED_VALUE"""),"lakhwinderkaurece@gmail.com")</f>
        <v>lakhwinderkaurece@gmail.com</v>
      </c>
      <c r="G199" s="1">
        <f ca="1">IFERROR(__xludf.DUMMYFUNCTION("""COMPUTED_VALUE"""),8146968681)</f>
        <v>8146968681</v>
      </c>
    </row>
    <row r="200" spans="1:7" x14ac:dyDescent="0.3">
      <c r="A200" s="1" t="str">
        <f ca="1">IFERROR(__xludf.DUMMYFUNCTION("""COMPUTED_VALUE"""),"Governement Polytechnic College, Ferozepur")</f>
        <v>Governement Polytechnic College, Ferozepur</v>
      </c>
      <c r="B200" s="1" t="str">
        <f ca="1">IFERROR(__xludf.DUMMYFUNCTION("""COMPUTED_VALUE"""),"Ferozepur")</f>
        <v>Ferozepur</v>
      </c>
      <c r="C200" s="1" t="str">
        <f ca="1">IFERROR(__xludf.DUMMYFUNCTION("""COMPUTED_VALUE"""),"Applied Science")</f>
        <v>Applied Science</v>
      </c>
      <c r="D200" s="1" t="str">
        <f ca="1">IFERROR(__xludf.DUMMYFUNCTION("""COMPUTED_VALUE"""),"Amarseer Singh")</f>
        <v>Amarseer Singh</v>
      </c>
      <c r="E200" s="1" t="str">
        <f ca="1">IFERROR(__xludf.DUMMYFUNCTION("""COMPUTED_VALUE"""),"HOD")</f>
        <v>HOD</v>
      </c>
      <c r="F200" s="1" t="str">
        <f ca="1">IFERROR(__xludf.DUMMYFUNCTION("""COMPUTED_VALUE"""),"amarseer73@gmail.com")</f>
        <v>amarseer73@gmail.com</v>
      </c>
      <c r="G200" s="1">
        <f ca="1">IFERROR(__xludf.DUMMYFUNCTION("""COMPUTED_VALUE"""),9463978057)</f>
        <v>9463978057</v>
      </c>
    </row>
    <row r="201" spans="1:7" x14ac:dyDescent="0.3">
      <c r="A201" s="1" t="str">
        <f ca="1">IFERROR(__xludf.DUMMYFUNCTION("""COMPUTED_VALUE"""),"Governement Polytechnic College, Ferozepur")</f>
        <v>Governement Polytechnic College, Ferozepur</v>
      </c>
      <c r="B201" s="1" t="str">
        <f ca="1">IFERROR(__xludf.DUMMYFUNCTION("""COMPUTED_VALUE"""),"Ferozepur")</f>
        <v>Ferozepur</v>
      </c>
      <c r="C201" s="1" t="str">
        <f ca="1">IFERROR(__xludf.DUMMYFUNCTION("""COMPUTED_VALUE"""),"Electrical Engineering")</f>
        <v>Electrical Engineering</v>
      </c>
      <c r="D201" s="1" t="str">
        <f ca="1">IFERROR(__xludf.DUMMYFUNCTION("""COMPUTED_VALUE"""),"Arun Rangera")</f>
        <v>Arun Rangera</v>
      </c>
      <c r="E201" s="1" t="str">
        <f ca="1">IFERROR(__xludf.DUMMYFUNCTION("""COMPUTED_VALUE"""),"Lecturer")</f>
        <v>Lecturer</v>
      </c>
      <c r="F201" s="1" t="str">
        <f ca="1">IFERROR(__xludf.DUMMYFUNCTION("""COMPUTED_VALUE"""),"arun.rangera@gmail.com")</f>
        <v>arun.rangera@gmail.com</v>
      </c>
      <c r="G201" s="1">
        <f ca="1">IFERROR(__xludf.DUMMYFUNCTION("""COMPUTED_VALUE"""),8288800218)</f>
        <v>8288800218</v>
      </c>
    </row>
    <row r="202" spans="1:7" x14ac:dyDescent="0.3">
      <c r="A202" s="1" t="str">
        <f ca="1">IFERROR(__xludf.DUMMYFUNCTION("""COMPUTED_VALUE"""),"Governement Polytechnic College, Ferozepur")</f>
        <v>Governement Polytechnic College, Ferozepur</v>
      </c>
      <c r="B202" s="1" t="str">
        <f ca="1">IFERROR(__xludf.DUMMYFUNCTION("""COMPUTED_VALUE"""),"Ferozepur")</f>
        <v>Ferozepur</v>
      </c>
      <c r="C202" s="1" t="str">
        <f ca="1">IFERROR(__xludf.DUMMYFUNCTION("""COMPUTED_VALUE"""),"Applied Science")</f>
        <v>Applied Science</v>
      </c>
      <c r="D202" s="1" t="str">
        <f ca="1">IFERROR(__xludf.DUMMYFUNCTION("""COMPUTED_VALUE"""),"Deepak gupta")</f>
        <v>Deepak gupta</v>
      </c>
      <c r="E202" s="1" t="str">
        <f ca="1">IFERROR(__xludf.DUMMYFUNCTION("""COMPUTED_VALUE"""),"Lecturer")</f>
        <v>Lecturer</v>
      </c>
      <c r="F202" s="1" t="str">
        <f ca="1">IFERROR(__xludf.DUMMYFUNCTION("""COMPUTED_VALUE"""),"dgchemistry84@gmail.com")</f>
        <v>dgchemistry84@gmail.com</v>
      </c>
      <c r="G202" s="1">
        <f ca="1">IFERROR(__xludf.DUMMYFUNCTION("""COMPUTED_VALUE"""),9464308725)</f>
        <v>9464308725</v>
      </c>
    </row>
    <row r="203" spans="1:7" x14ac:dyDescent="0.3">
      <c r="A203" s="1" t="str">
        <f ca="1">IFERROR(__xludf.DUMMYFUNCTION("""COMPUTED_VALUE"""),"Governement Polytechnic College, Ferozepur")</f>
        <v>Governement Polytechnic College, Ferozepur</v>
      </c>
      <c r="B203" s="1" t="str">
        <f ca="1">IFERROR(__xludf.DUMMYFUNCTION("""COMPUTED_VALUE"""),"Ferozepur")</f>
        <v>Ferozepur</v>
      </c>
      <c r="C203" s="1" t="str">
        <f ca="1">IFERROR(__xludf.DUMMYFUNCTION("""COMPUTED_VALUE"""),"Mechanical Engineering")</f>
        <v>Mechanical Engineering</v>
      </c>
      <c r="D203" s="1" t="str">
        <f ca="1">IFERROR(__xludf.DUMMYFUNCTION("""COMPUTED_VALUE"""),"Gurvinder Singh")</f>
        <v>Gurvinder Singh</v>
      </c>
      <c r="E203" s="1" t="str">
        <f ca="1">IFERROR(__xludf.DUMMYFUNCTION("""COMPUTED_VALUE"""),"Lecturer")</f>
        <v>Lecturer</v>
      </c>
      <c r="F203" s="1" t="str">
        <f ca="1">IFERROR(__xludf.DUMMYFUNCTION("""COMPUTED_VALUE"""),"guri142542@gmail.com")</f>
        <v>guri142542@gmail.com</v>
      </c>
      <c r="G203" s="1">
        <f ca="1">IFERROR(__xludf.DUMMYFUNCTION("""COMPUTED_VALUE"""),9501722373)</f>
        <v>9501722373</v>
      </c>
    </row>
    <row r="204" spans="1:7" x14ac:dyDescent="0.3">
      <c r="A204" s="1" t="str">
        <f ca="1">IFERROR(__xludf.DUMMYFUNCTION("""COMPUTED_VALUE"""),"Governement Polytechnic College, Ferozepur")</f>
        <v>Governement Polytechnic College, Ferozepur</v>
      </c>
      <c r="B204" s="1" t="str">
        <f ca="1">IFERROR(__xludf.DUMMYFUNCTION("""COMPUTED_VALUE"""),"Ferozepur")</f>
        <v>Ferozepur</v>
      </c>
      <c r="C204" s="1" t="str">
        <f ca="1">IFERROR(__xludf.DUMMYFUNCTION("""COMPUTED_VALUE"""),"Computer Science and Engineering")</f>
        <v>Computer Science and Engineering</v>
      </c>
      <c r="D204" s="1" t="str">
        <f ca="1">IFERROR(__xludf.DUMMYFUNCTION("""COMPUTED_VALUE"""),"Jaswinder Kaur")</f>
        <v>Jaswinder Kaur</v>
      </c>
      <c r="E204" s="1" t="str">
        <f ca="1">IFERROR(__xludf.DUMMYFUNCTION("""COMPUTED_VALUE"""),"HOD")</f>
        <v>HOD</v>
      </c>
      <c r="F204" s="1" t="str">
        <f ca="1">IFERROR(__xludf.DUMMYFUNCTION("""COMPUTED_VALUE"""),"prettyfzr@gmail.com")</f>
        <v>prettyfzr@gmail.com</v>
      </c>
      <c r="G204" s="1">
        <f ca="1">IFERROR(__xludf.DUMMYFUNCTION("""COMPUTED_VALUE"""),8283834812)</f>
        <v>8283834812</v>
      </c>
    </row>
    <row r="205" spans="1:7" x14ac:dyDescent="0.3">
      <c r="A205" s="1" t="str">
        <f ca="1">IFERROR(__xludf.DUMMYFUNCTION("""COMPUTED_VALUE"""),"Governement Polytechnic College, Ferozepur")</f>
        <v>Governement Polytechnic College, Ferozepur</v>
      </c>
      <c r="B205" s="1" t="str">
        <f ca="1">IFERROR(__xludf.DUMMYFUNCTION("""COMPUTED_VALUE"""),"Ferozepur")</f>
        <v>Ferozepur</v>
      </c>
      <c r="C205" s="1" t="str">
        <f ca="1">IFERROR(__xludf.DUMMYFUNCTION("""COMPUTED_VALUE"""),"Computer Science and Engineering")</f>
        <v>Computer Science and Engineering</v>
      </c>
      <c r="D205" s="1" t="str">
        <f ca="1">IFERROR(__xludf.DUMMYFUNCTION("""COMPUTED_VALUE"""),"Jaswinder Kaur")</f>
        <v>Jaswinder Kaur</v>
      </c>
      <c r="E205" s="1" t="str">
        <f ca="1">IFERROR(__xludf.DUMMYFUNCTION("""COMPUTED_VALUE"""),"Lecturer")</f>
        <v>Lecturer</v>
      </c>
      <c r="F205" s="1" t="str">
        <f ca="1">IFERROR(__xludf.DUMMYFUNCTION("""COMPUTED_VALUE"""),"er.jaswinder026@gmail.com")</f>
        <v>er.jaswinder026@gmail.com</v>
      </c>
      <c r="G205" s="1">
        <f ca="1">IFERROR(__xludf.DUMMYFUNCTION("""COMPUTED_VALUE"""),8847551066)</f>
        <v>8847551066</v>
      </c>
    </row>
    <row r="206" spans="1:7" x14ac:dyDescent="0.3">
      <c r="A206" s="1" t="str">
        <f ca="1">IFERROR(__xludf.DUMMYFUNCTION("""COMPUTED_VALUE"""),"Governement Polytechnic College, Ferozepur")</f>
        <v>Governement Polytechnic College, Ferozepur</v>
      </c>
      <c r="B206" s="1" t="str">
        <f ca="1">IFERROR(__xludf.DUMMYFUNCTION("""COMPUTED_VALUE"""),"Ferozepur")</f>
        <v>Ferozepur</v>
      </c>
      <c r="C206" s="1" t="str">
        <f ca="1">IFERROR(__xludf.DUMMYFUNCTION("""COMPUTED_VALUE"""),"Electronics and Communications Engineering")</f>
        <v>Electronics and Communications Engineering</v>
      </c>
      <c r="D206" s="1" t="str">
        <f ca="1">IFERROR(__xludf.DUMMYFUNCTION("""COMPUTED_VALUE"""),"JATINDER PAL")</f>
        <v>JATINDER PAL</v>
      </c>
      <c r="E206" s="1" t="str">
        <f ca="1">IFERROR(__xludf.DUMMYFUNCTION("""COMPUTED_VALUE"""),"Principal")</f>
        <v>Principal</v>
      </c>
      <c r="F206" s="1" t="str">
        <f ca="1">IFERROR(__xludf.DUMMYFUNCTION("""COMPUTED_VALUE"""),"jatinderpal.kamboj@gmail.com")</f>
        <v>jatinderpal.kamboj@gmail.com</v>
      </c>
      <c r="G206" s="1">
        <f ca="1">IFERROR(__xludf.DUMMYFUNCTION("""COMPUTED_VALUE"""),8146564622)</f>
        <v>8146564622</v>
      </c>
    </row>
    <row r="207" spans="1:7" x14ac:dyDescent="0.3">
      <c r="A207" s="1" t="str">
        <f ca="1">IFERROR(__xludf.DUMMYFUNCTION("""COMPUTED_VALUE"""),"Governement Polytechnic College, Ferozepur")</f>
        <v>Governement Polytechnic College, Ferozepur</v>
      </c>
      <c r="B207" s="1" t="str">
        <f ca="1">IFERROR(__xludf.DUMMYFUNCTION("""COMPUTED_VALUE"""),"Ferozepur")</f>
        <v>Ferozepur</v>
      </c>
      <c r="C207" s="1" t="str">
        <f ca="1">IFERROR(__xludf.DUMMYFUNCTION("""COMPUTED_VALUE"""),"Electrical Engineering")</f>
        <v>Electrical Engineering</v>
      </c>
      <c r="D207" s="1" t="str">
        <f ca="1">IFERROR(__xludf.DUMMYFUNCTION("""COMPUTED_VALUE"""),"Karan Anand")</f>
        <v>Karan Anand</v>
      </c>
      <c r="E207" s="1" t="str">
        <f ca="1">IFERROR(__xludf.DUMMYFUNCTION("""COMPUTED_VALUE"""),"Lecturer")</f>
        <v>Lecturer</v>
      </c>
      <c r="F207" s="1" t="str">
        <f ca="1">IFERROR(__xludf.DUMMYFUNCTION("""COMPUTED_VALUE"""),"karan91anand@gmail.com")</f>
        <v>karan91anand@gmail.com</v>
      </c>
      <c r="G207" s="1">
        <f ca="1">IFERROR(__xludf.DUMMYFUNCTION("""COMPUTED_VALUE"""),8146246666)</f>
        <v>8146246666</v>
      </c>
    </row>
    <row r="208" spans="1:7" x14ac:dyDescent="0.3">
      <c r="A208" s="1" t="str">
        <f ca="1">IFERROR(__xludf.DUMMYFUNCTION("""COMPUTED_VALUE"""),"Governement Polytechnic College, Ferozepur")</f>
        <v>Governement Polytechnic College, Ferozepur</v>
      </c>
      <c r="B208" s="1" t="str">
        <f ca="1">IFERROR(__xludf.DUMMYFUNCTION("""COMPUTED_VALUE"""),"Ferozepur")</f>
        <v>Ferozepur</v>
      </c>
      <c r="C208" s="1" t="str">
        <f ca="1">IFERROR(__xludf.DUMMYFUNCTION("""COMPUTED_VALUE"""),"Electronics and Communications Engineering")</f>
        <v>Electronics and Communications Engineering</v>
      </c>
      <c r="D208" s="1" t="str">
        <f ca="1">IFERROR(__xludf.DUMMYFUNCTION("""COMPUTED_VALUE"""),"NAVJEEVAN SINGH")</f>
        <v>NAVJEEVAN SINGH</v>
      </c>
      <c r="E208" s="1" t="str">
        <f ca="1">IFERROR(__xludf.DUMMYFUNCTION("""COMPUTED_VALUE"""),"Lecturer")</f>
        <v>Lecturer</v>
      </c>
      <c r="F208" s="1" t="str">
        <f ca="1">IFERROR(__xludf.DUMMYFUNCTION("""COMPUTED_VALUE"""),"navjeevanece@gmail.com")</f>
        <v>navjeevanece@gmail.com</v>
      </c>
      <c r="G208" s="1">
        <f ca="1">IFERROR(__xludf.DUMMYFUNCTION("""COMPUTED_VALUE"""),9464029593)</f>
        <v>9464029593</v>
      </c>
    </row>
    <row r="209" spans="1:7" x14ac:dyDescent="0.3">
      <c r="A209" s="1" t="str">
        <f ca="1">IFERROR(__xludf.DUMMYFUNCTION("""COMPUTED_VALUE"""),"Governement Polytechnic College, Ferozepur")</f>
        <v>Governement Polytechnic College, Ferozepur</v>
      </c>
      <c r="B209" s="1" t="str">
        <f ca="1">IFERROR(__xludf.DUMMYFUNCTION("""COMPUTED_VALUE"""),"Ferozepur")</f>
        <v>Ferozepur</v>
      </c>
      <c r="C209" s="1" t="str">
        <f ca="1">IFERROR(__xludf.DUMMYFUNCTION("""COMPUTED_VALUE"""),"Electrical Engineering")</f>
        <v>Electrical Engineering</v>
      </c>
      <c r="D209" s="1" t="str">
        <f ca="1">IFERROR(__xludf.DUMMYFUNCTION("""COMPUTED_VALUE"""),"Rajesh Bahri")</f>
        <v>Rajesh Bahri</v>
      </c>
      <c r="E209" s="1" t="str">
        <f ca="1">IFERROR(__xludf.DUMMYFUNCTION("""COMPUTED_VALUE"""),"Sr. Lecturer")</f>
        <v>Sr. Lecturer</v>
      </c>
      <c r="F209" s="1" t="str">
        <f ca="1">IFERROR(__xludf.DUMMYFUNCTION("""COMPUTED_VALUE"""),"bahrirajesh1@gmail.com")</f>
        <v>bahrirajesh1@gmail.com</v>
      </c>
      <c r="G209" s="1">
        <f ca="1">IFERROR(__xludf.DUMMYFUNCTION("""COMPUTED_VALUE"""),8427446786)</f>
        <v>8427446786</v>
      </c>
    </row>
    <row r="210" spans="1:7" x14ac:dyDescent="0.3">
      <c r="A210" s="1" t="str">
        <f ca="1">IFERROR(__xludf.DUMMYFUNCTION("""COMPUTED_VALUE"""),"Governement Polytechnic College, Ferozepur")</f>
        <v>Governement Polytechnic College, Ferozepur</v>
      </c>
      <c r="B210" s="1" t="str">
        <f ca="1">IFERROR(__xludf.DUMMYFUNCTION("""COMPUTED_VALUE"""),"Ferozepur")</f>
        <v>Ferozepur</v>
      </c>
      <c r="C210" s="1" t="str">
        <f ca="1">IFERROR(__xludf.DUMMYFUNCTION("""COMPUTED_VALUE"""),"Computer Science and Engineering")</f>
        <v>Computer Science and Engineering</v>
      </c>
      <c r="D210" s="1" t="str">
        <f ca="1">IFERROR(__xludf.DUMMYFUNCTION("""COMPUTED_VALUE"""),"BEANT SINGH")</f>
        <v>BEANT SINGH</v>
      </c>
      <c r="E210" s="1" t="str">
        <f ca="1">IFERROR(__xludf.DUMMYFUNCTION("""COMPUTED_VALUE"""),"Lecturer")</f>
        <v>Lecturer</v>
      </c>
      <c r="F210" s="1" t="str">
        <f ca="1">IFERROR(__xludf.DUMMYFUNCTION("""COMPUTED_VALUE"""),"erbeantsingh2023@gmail.com")</f>
        <v>erbeantsingh2023@gmail.com</v>
      </c>
      <c r="G210" s="1">
        <f ca="1">IFERROR(__xludf.DUMMYFUNCTION("""COMPUTED_VALUE"""),9417097596)</f>
        <v>9417097596</v>
      </c>
    </row>
    <row r="211" spans="1:7" x14ac:dyDescent="0.3">
      <c r="A211" s="1" t="str">
        <f ca="1">IFERROR(__xludf.DUMMYFUNCTION("""COMPUTED_VALUE"""),"Governement Polytechnic College, Ferozepur")</f>
        <v>Governement Polytechnic College, Ferozepur</v>
      </c>
      <c r="B211" s="1" t="str">
        <f ca="1">IFERROR(__xludf.DUMMYFUNCTION("""COMPUTED_VALUE"""),"Ferozepur")</f>
        <v>Ferozepur</v>
      </c>
      <c r="C211" s="1" t="str">
        <f ca="1">IFERROR(__xludf.DUMMYFUNCTION("""COMPUTED_VALUE"""),"Electronics and Communications Engineering")</f>
        <v>Electronics and Communications Engineering</v>
      </c>
      <c r="D211" s="1" t="str">
        <f ca="1">IFERROR(__xludf.DUMMYFUNCTION("""COMPUTED_VALUE"""),"Sumer Singh")</f>
        <v>Sumer Singh</v>
      </c>
      <c r="E211" s="1" t="str">
        <f ca="1">IFERROR(__xludf.DUMMYFUNCTION("""COMPUTED_VALUE"""),"Lecturer")</f>
        <v>Lecturer</v>
      </c>
      <c r="F211" s="1" t="str">
        <f ca="1">IFERROR(__xludf.DUMMYFUNCTION("""COMPUTED_VALUE"""),"ersumersingh.54@gmail.com")</f>
        <v>ersumersingh.54@gmail.com</v>
      </c>
      <c r="G211" s="1">
        <f ca="1">IFERROR(__xludf.DUMMYFUNCTION("""COMPUTED_VALUE"""),9530913396)</f>
        <v>9530913396</v>
      </c>
    </row>
    <row r="212" spans="1:7" x14ac:dyDescent="0.3">
      <c r="A212" s="1" t="str">
        <f ca="1">IFERROR(__xludf.DUMMYFUNCTION("""COMPUTED_VALUE"""),"Governement Polytechnic College, Ferozepur")</f>
        <v>Governement Polytechnic College, Ferozepur</v>
      </c>
      <c r="B212" s="1" t="str">
        <f ca="1">IFERROR(__xludf.DUMMYFUNCTION("""COMPUTED_VALUE"""),"Ferozepur")</f>
        <v>Ferozepur</v>
      </c>
      <c r="C212" s="1" t="str">
        <f ca="1">IFERROR(__xludf.DUMMYFUNCTION("""COMPUTED_VALUE"""),"Electronics and Communications Engineering")</f>
        <v>Electronics and Communications Engineering</v>
      </c>
      <c r="D212" s="1" t="str">
        <f ca="1">IFERROR(__xludf.DUMMYFUNCTION("""COMPUTED_VALUE"""),"Sandeep Singh")</f>
        <v>Sandeep Singh</v>
      </c>
      <c r="E212" s="1" t="str">
        <f ca="1">IFERROR(__xludf.DUMMYFUNCTION("""COMPUTED_VALUE"""),"Lecturer")</f>
        <v>Lecturer</v>
      </c>
      <c r="F212" s="1" t="str">
        <f ca="1">IFERROR(__xludf.DUMMYFUNCTION("""COMPUTED_VALUE"""),"sandeep.singhbti@gmail.com")</f>
        <v>sandeep.singhbti@gmail.com</v>
      </c>
      <c r="G212" s="1">
        <f ca="1">IFERROR(__xludf.DUMMYFUNCTION("""COMPUTED_VALUE"""),9878764005)</f>
        <v>9878764005</v>
      </c>
    </row>
    <row r="213" spans="1:7" x14ac:dyDescent="0.3">
      <c r="A213" s="1" t="str">
        <f ca="1">IFERROR(__xludf.DUMMYFUNCTION("""COMPUTED_VALUE"""),"Governement Polytechnic College, Ferozepur")</f>
        <v>Governement Polytechnic College, Ferozepur</v>
      </c>
      <c r="B213" s="1" t="str">
        <f ca="1">IFERROR(__xludf.DUMMYFUNCTION("""COMPUTED_VALUE"""),"Ferozepur")</f>
        <v>Ferozepur</v>
      </c>
      <c r="C213" s="1" t="str">
        <f ca="1">IFERROR(__xludf.DUMMYFUNCTION("""COMPUTED_VALUE"""),"Electrical Engineering")</f>
        <v>Electrical Engineering</v>
      </c>
      <c r="D213" s="1" t="str">
        <f ca="1">IFERROR(__xludf.DUMMYFUNCTION("""COMPUTED_VALUE"""),"Sandeep Singh (EE)")</f>
        <v>Sandeep Singh (EE)</v>
      </c>
      <c r="E213" s="1" t="str">
        <f ca="1">IFERROR(__xludf.DUMMYFUNCTION("""COMPUTED_VALUE"""),"Lecturer")</f>
        <v>Lecturer</v>
      </c>
      <c r="F213" s="1" t="str">
        <f ca="1">IFERROR(__xludf.DUMMYFUNCTION("""COMPUTED_VALUE"""),"sandeepsingh6893@gmail.com")</f>
        <v>sandeepsingh6893@gmail.com</v>
      </c>
      <c r="G213" s="1">
        <f ca="1">IFERROR(__xludf.DUMMYFUNCTION("""COMPUTED_VALUE"""),9478163029)</f>
        <v>9478163029</v>
      </c>
    </row>
    <row r="214" spans="1:7" x14ac:dyDescent="0.3">
      <c r="A214" s="1" t="str">
        <f ca="1">IFERROR(__xludf.DUMMYFUNCTION("""COMPUTED_VALUE"""),"Governement Polytechnic College, Batala")</f>
        <v>Governement Polytechnic College, Batala</v>
      </c>
      <c r="B214" s="1" t="str">
        <f ca="1">IFERROR(__xludf.DUMMYFUNCTION("""COMPUTED_VALUE"""),"Gurdaspur")</f>
        <v>Gurdaspur</v>
      </c>
      <c r="C214" s="1" t="str">
        <f ca="1">IFERROR(__xludf.DUMMYFUNCTION("""COMPUTED_VALUE"""),"Electrical Engineering")</f>
        <v>Electrical Engineering</v>
      </c>
      <c r="D214" s="1" t="str">
        <f ca="1">IFERROR(__xludf.DUMMYFUNCTION("""COMPUTED_VALUE"""),"Angedpreet Singh")</f>
        <v>Angedpreet Singh</v>
      </c>
      <c r="E214" s="1" t="str">
        <f ca="1">IFERROR(__xludf.DUMMYFUNCTION("""COMPUTED_VALUE"""),"Lecturer")</f>
        <v>Lecturer</v>
      </c>
      <c r="F214" s="1" t="str">
        <f ca="1">IFERROR(__xludf.DUMMYFUNCTION("""COMPUTED_VALUE"""),"angedpreeter@gmail.com")</f>
        <v>angedpreeter@gmail.com</v>
      </c>
      <c r="G214" s="1">
        <f ca="1">IFERROR(__xludf.DUMMYFUNCTION("""COMPUTED_VALUE"""),9988316241)</f>
        <v>9988316241</v>
      </c>
    </row>
    <row r="215" spans="1:7" x14ac:dyDescent="0.3">
      <c r="A215" s="1" t="str">
        <f ca="1">IFERROR(__xludf.DUMMYFUNCTION("""COMPUTED_VALUE"""),"Governement Polytechnic College, Batala")</f>
        <v>Governement Polytechnic College, Batala</v>
      </c>
      <c r="B215" s="1" t="str">
        <f ca="1">IFERROR(__xludf.DUMMYFUNCTION("""COMPUTED_VALUE"""),"Gurdaspur")</f>
        <v>Gurdaspur</v>
      </c>
      <c r="C215" s="1" t="str">
        <f ca="1">IFERROR(__xludf.DUMMYFUNCTION("""COMPUTED_VALUE"""),"Mechanical Engineering")</f>
        <v>Mechanical Engineering</v>
      </c>
      <c r="D215" s="1" t="str">
        <f ca="1">IFERROR(__xludf.DUMMYFUNCTION("""COMPUTED_VALUE"""),"Atish Kumar")</f>
        <v>Atish Kumar</v>
      </c>
      <c r="E215" s="1" t="str">
        <f ca="1">IFERROR(__xludf.DUMMYFUNCTION("""COMPUTED_VALUE"""),"Sr. Lecturer")</f>
        <v>Sr. Lecturer</v>
      </c>
      <c r="F215" s="1" t="str">
        <f ca="1">IFERROR(__xludf.DUMMYFUNCTION("""COMPUTED_VALUE"""),"atish.attri16@gmail.com")</f>
        <v>atish.attri16@gmail.com</v>
      </c>
      <c r="G215" s="1">
        <f ca="1">IFERROR(__xludf.DUMMYFUNCTION("""COMPUTED_VALUE"""),8427188995)</f>
        <v>8427188995</v>
      </c>
    </row>
    <row r="216" spans="1:7" x14ac:dyDescent="0.3">
      <c r="A216" s="1" t="str">
        <f ca="1">IFERROR(__xludf.DUMMYFUNCTION("""COMPUTED_VALUE"""),"Governement Polytechnic College, Batala")</f>
        <v>Governement Polytechnic College, Batala</v>
      </c>
      <c r="B216" s="1" t="str">
        <f ca="1">IFERROR(__xludf.DUMMYFUNCTION("""COMPUTED_VALUE"""),"Gurdaspur")</f>
        <v>Gurdaspur</v>
      </c>
      <c r="C216" s="1" t="str">
        <f ca="1">IFERROR(__xludf.DUMMYFUNCTION("""COMPUTED_VALUE"""),"Electrical Engineering")</f>
        <v>Electrical Engineering</v>
      </c>
      <c r="D216" s="1" t="str">
        <f ca="1">IFERROR(__xludf.DUMMYFUNCTION("""COMPUTED_VALUE"""),"Balwinder Singh")</f>
        <v>Balwinder Singh</v>
      </c>
      <c r="E216" s="1" t="str">
        <f ca="1">IFERROR(__xludf.DUMMYFUNCTION("""COMPUTED_VALUE"""),"Sr. Lecturer")</f>
        <v>Sr. Lecturer</v>
      </c>
      <c r="F216" s="1" t="str">
        <f ca="1">IFERROR(__xludf.DUMMYFUNCTION("""COMPUTED_VALUE"""),"erbalwinder999@gmail.com")</f>
        <v>erbalwinder999@gmail.com</v>
      </c>
      <c r="G216" s="1">
        <f ca="1">IFERROR(__xludf.DUMMYFUNCTION("""COMPUTED_VALUE"""),9501118999)</f>
        <v>9501118999</v>
      </c>
    </row>
    <row r="217" spans="1:7" x14ac:dyDescent="0.3">
      <c r="A217" s="1" t="str">
        <f ca="1">IFERROR(__xludf.DUMMYFUNCTION("""COMPUTED_VALUE"""),"Governement Polytechnic College, Batala")</f>
        <v>Governement Polytechnic College, Batala</v>
      </c>
      <c r="B217" s="1" t="str">
        <f ca="1">IFERROR(__xludf.DUMMYFUNCTION("""COMPUTED_VALUE"""),"Gurdaspur")</f>
        <v>Gurdaspur</v>
      </c>
      <c r="C217" s="1" t="str">
        <f ca="1">IFERROR(__xludf.DUMMYFUNCTION("""COMPUTED_VALUE"""),"Applied Science")</f>
        <v>Applied Science</v>
      </c>
      <c r="D217" s="1" t="str">
        <f ca="1">IFERROR(__xludf.DUMMYFUNCTION("""COMPUTED_VALUE"""),"Bhupinder Singh")</f>
        <v>Bhupinder Singh</v>
      </c>
      <c r="E217" s="1" t="str">
        <f ca="1">IFERROR(__xludf.DUMMYFUNCTION("""COMPUTED_VALUE"""),"Sr. Lecturer")</f>
        <v>Sr. Lecturer</v>
      </c>
      <c r="F217" s="1" t="str">
        <f ca="1">IFERROR(__xludf.DUMMYFUNCTION("""COMPUTED_VALUE"""),"bhupinderphy@gmail.com")</f>
        <v>bhupinderphy@gmail.com</v>
      </c>
      <c r="G217" s="1">
        <f ca="1">IFERROR(__xludf.DUMMYFUNCTION("""COMPUTED_VALUE"""),9501391800)</f>
        <v>9501391800</v>
      </c>
    </row>
    <row r="218" spans="1:7" x14ac:dyDescent="0.3">
      <c r="A218" s="1" t="str">
        <f ca="1">IFERROR(__xludf.DUMMYFUNCTION("""COMPUTED_VALUE"""),"Governement Polytechnic College, Batala")</f>
        <v>Governement Polytechnic College, Batala</v>
      </c>
      <c r="B218" s="1" t="str">
        <f ca="1">IFERROR(__xludf.DUMMYFUNCTION("""COMPUTED_VALUE"""),"Gurdaspur")</f>
        <v>Gurdaspur</v>
      </c>
      <c r="C218" s="1" t="str">
        <f ca="1">IFERROR(__xludf.DUMMYFUNCTION("""COMPUTED_VALUE"""),"Computer Science and Engineering")</f>
        <v>Computer Science and Engineering</v>
      </c>
      <c r="D218" s="1" t="str">
        <f ca="1">IFERROR(__xludf.DUMMYFUNCTION("""COMPUTED_VALUE"""),"Davinder Singh Bhatti")</f>
        <v>Davinder Singh Bhatti</v>
      </c>
      <c r="E218" s="1" t="str">
        <f ca="1">IFERROR(__xludf.DUMMYFUNCTION("""COMPUTED_VALUE"""),"Principal")</f>
        <v>Principal</v>
      </c>
      <c r="F218" s="1" t="str">
        <f ca="1">IFERROR(__xludf.DUMMYFUNCTION("""COMPUTED_VALUE"""),"bhattids@gmail.com")</f>
        <v>bhattids@gmail.com</v>
      </c>
      <c r="G218" s="1">
        <f ca="1">IFERROR(__xludf.DUMMYFUNCTION("""COMPUTED_VALUE"""),9878833188)</f>
        <v>9878833188</v>
      </c>
    </row>
    <row r="219" spans="1:7" x14ac:dyDescent="0.3">
      <c r="A219" s="1" t="str">
        <f ca="1">IFERROR(__xludf.DUMMYFUNCTION("""COMPUTED_VALUE"""),"Governement Polytechnic College, Batala")</f>
        <v>Governement Polytechnic College, Batala</v>
      </c>
      <c r="B219" s="1" t="str">
        <f ca="1">IFERROR(__xludf.DUMMYFUNCTION("""COMPUTED_VALUE"""),"Gurdaspur")</f>
        <v>Gurdaspur</v>
      </c>
      <c r="C219" s="1" t="str">
        <f ca="1">IFERROR(__xludf.DUMMYFUNCTION("""COMPUTED_VALUE"""),"Mechanical Engineering")</f>
        <v>Mechanical Engineering</v>
      </c>
      <c r="D219" s="1" t="str">
        <f ca="1">IFERROR(__xludf.DUMMYFUNCTION("""COMPUTED_VALUE"""),"Gulzar")</f>
        <v>Gulzar</v>
      </c>
      <c r="E219" s="1" t="str">
        <f ca="1">IFERROR(__xludf.DUMMYFUNCTION("""COMPUTED_VALUE"""),"Lecturer")</f>
        <v>Lecturer</v>
      </c>
      <c r="F219" s="1" t="str">
        <f ca="1">IFERROR(__xludf.DUMMYFUNCTION("""COMPUTED_VALUE"""),"gulzarattri@gmail.com")</f>
        <v>gulzarattri@gmail.com</v>
      </c>
      <c r="G219" s="1">
        <f ca="1">IFERROR(__xludf.DUMMYFUNCTION("""COMPUTED_VALUE"""),6280463694)</f>
        <v>6280463694</v>
      </c>
    </row>
    <row r="220" spans="1:7" x14ac:dyDescent="0.3">
      <c r="A220" s="1" t="str">
        <f ca="1">IFERROR(__xludf.DUMMYFUNCTION("""COMPUTED_VALUE"""),"Governement Polytechnic College, Batala")</f>
        <v>Governement Polytechnic College, Batala</v>
      </c>
      <c r="B220" s="1" t="str">
        <f ca="1">IFERROR(__xludf.DUMMYFUNCTION("""COMPUTED_VALUE"""),"Gurdaspur")</f>
        <v>Gurdaspur</v>
      </c>
      <c r="C220" s="1" t="str">
        <f ca="1">IFERROR(__xludf.DUMMYFUNCTION("""COMPUTED_VALUE"""),"Mechanical Engineering")</f>
        <v>Mechanical Engineering</v>
      </c>
      <c r="D220" s="1" t="str">
        <f ca="1">IFERROR(__xludf.DUMMYFUNCTION("""COMPUTED_VALUE"""),"Harjinder Pal Singh")</f>
        <v>Harjinder Pal Singh</v>
      </c>
      <c r="E220" s="1" t="str">
        <f ca="1">IFERROR(__xludf.DUMMYFUNCTION("""COMPUTED_VALUE"""),"Sr. Lecturer")</f>
        <v>Sr. Lecturer</v>
      </c>
      <c r="F220" s="1" t="str">
        <f ca="1">IFERROR(__xludf.DUMMYFUNCTION("""COMPUTED_VALUE"""),"er.hps1@gmail.com")</f>
        <v>er.hps1@gmail.com</v>
      </c>
      <c r="G220" s="1">
        <f ca="1">IFERROR(__xludf.DUMMYFUNCTION("""COMPUTED_VALUE"""),9501193000)</f>
        <v>9501193000</v>
      </c>
    </row>
    <row r="221" spans="1:7" x14ac:dyDescent="0.3">
      <c r="A221" s="1" t="str">
        <f ca="1">IFERROR(__xludf.DUMMYFUNCTION("""COMPUTED_VALUE"""),"Governement Polytechnic College, Batala")</f>
        <v>Governement Polytechnic College, Batala</v>
      </c>
      <c r="B221" s="1" t="str">
        <f ca="1">IFERROR(__xludf.DUMMYFUNCTION("""COMPUTED_VALUE"""),"Gurdaspur")</f>
        <v>Gurdaspur</v>
      </c>
      <c r="C221" s="1" t="str">
        <f ca="1">IFERROR(__xludf.DUMMYFUNCTION("""COMPUTED_VALUE"""),"Mechanical Engineering")</f>
        <v>Mechanical Engineering</v>
      </c>
      <c r="D221" s="1" t="str">
        <f ca="1">IFERROR(__xludf.DUMMYFUNCTION("""COMPUTED_VALUE"""),"Hunarbir Singh")</f>
        <v>Hunarbir Singh</v>
      </c>
      <c r="E221" s="1" t="str">
        <f ca="1">IFERROR(__xludf.DUMMYFUNCTION("""COMPUTED_VALUE"""),"Lecturer")</f>
        <v>Lecturer</v>
      </c>
      <c r="F221" s="1" t="str">
        <f ca="1">IFERROR(__xludf.DUMMYFUNCTION("""COMPUTED_VALUE"""),"hunarbir91@gmail.com")</f>
        <v>hunarbir91@gmail.com</v>
      </c>
      <c r="G221" s="1">
        <f ca="1">IFERROR(__xludf.DUMMYFUNCTION("""COMPUTED_VALUE"""),9915848342)</f>
        <v>9915848342</v>
      </c>
    </row>
    <row r="222" spans="1:7" x14ac:dyDescent="0.3">
      <c r="A222" s="1" t="str">
        <f ca="1">IFERROR(__xludf.DUMMYFUNCTION("""COMPUTED_VALUE"""),"Governement Polytechnic College, Batala")</f>
        <v>Governement Polytechnic College, Batala</v>
      </c>
      <c r="B222" s="1" t="str">
        <f ca="1">IFERROR(__xludf.DUMMYFUNCTION("""COMPUTED_VALUE"""),"Gurdaspur")</f>
        <v>Gurdaspur</v>
      </c>
      <c r="C222" s="1" t="str">
        <f ca="1">IFERROR(__xludf.DUMMYFUNCTION("""COMPUTED_VALUE"""),"Electronics and Communications Engineering")</f>
        <v>Electronics and Communications Engineering</v>
      </c>
      <c r="D222" s="1" t="str">
        <f ca="1">IFERROR(__xludf.DUMMYFUNCTION("""COMPUTED_VALUE"""),"Jagdeep Singh")</f>
        <v>Jagdeep Singh</v>
      </c>
      <c r="E222" s="1" t="str">
        <f ca="1">IFERROR(__xludf.DUMMYFUNCTION("""COMPUTED_VALUE"""),"Lecturer")</f>
        <v>Lecturer</v>
      </c>
      <c r="F222" s="1" t="str">
        <f ca="1">IFERROR(__xludf.DUMMYFUNCTION("""COMPUTED_VALUE"""),"jagdeep5041982@gmail.com")</f>
        <v>jagdeep5041982@gmail.com</v>
      </c>
      <c r="G222" s="1">
        <f ca="1">IFERROR(__xludf.DUMMYFUNCTION("""COMPUTED_VALUE"""),9501118311)</f>
        <v>9501118311</v>
      </c>
    </row>
    <row r="223" spans="1:7" x14ac:dyDescent="0.3">
      <c r="A223" s="1" t="str">
        <f ca="1">IFERROR(__xludf.DUMMYFUNCTION("""COMPUTED_VALUE"""),"Governement Polytechnic College, Batala")</f>
        <v>Governement Polytechnic College, Batala</v>
      </c>
      <c r="B223" s="1" t="str">
        <f ca="1">IFERROR(__xludf.DUMMYFUNCTION("""COMPUTED_VALUE"""),"Gurdaspur")</f>
        <v>Gurdaspur</v>
      </c>
      <c r="C223" s="1" t="str">
        <f ca="1">IFERROR(__xludf.DUMMYFUNCTION("""COMPUTED_VALUE"""),"Chemical Engineering")</f>
        <v>Chemical Engineering</v>
      </c>
      <c r="D223" s="1" t="str">
        <f ca="1">IFERROR(__xludf.DUMMYFUNCTION("""COMPUTED_VALUE"""),"Jasbir Singh")</f>
        <v>Jasbir Singh</v>
      </c>
      <c r="E223" s="1" t="str">
        <f ca="1">IFERROR(__xludf.DUMMYFUNCTION("""COMPUTED_VALUE"""),"Lecturer")</f>
        <v>Lecturer</v>
      </c>
      <c r="F223" s="1" t="str">
        <f ca="1">IFERROR(__xludf.DUMMYFUNCTION("""COMPUTED_VALUE"""),"nicejasz@gmail.com")</f>
        <v>nicejasz@gmail.com</v>
      </c>
      <c r="G223" s="1">
        <f ca="1">IFERROR(__xludf.DUMMYFUNCTION("""COMPUTED_VALUE"""),9501118333)</f>
        <v>9501118333</v>
      </c>
    </row>
    <row r="224" spans="1:7" x14ac:dyDescent="0.3">
      <c r="A224" s="1" t="str">
        <f ca="1">IFERROR(__xludf.DUMMYFUNCTION("""COMPUTED_VALUE"""),"Governement Polytechnic College, Batala")</f>
        <v>Governement Polytechnic College, Batala</v>
      </c>
      <c r="B224" s="1" t="str">
        <f ca="1">IFERROR(__xludf.DUMMYFUNCTION("""COMPUTED_VALUE"""),"Gurdaspur")</f>
        <v>Gurdaspur</v>
      </c>
      <c r="C224" s="1" t="str">
        <f ca="1">IFERROR(__xludf.DUMMYFUNCTION("""COMPUTED_VALUE"""),"Chemical Engineering")</f>
        <v>Chemical Engineering</v>
      </c>
      <c r="D224" s="1" t="str">
        <f ca="1">IFERROR(__xludf.DUMMYFUNCTION("""COMPUTED_VALUE"""),"Jaspreet Kaur")</f>
        <v>Jaspreet Kaur</v>
      </c>
      <c r="E224" s="1" t="str">
        <f ca="1">IFERROR(__xludf.DUMMYFUNCTION("""COMPUTED_VALUE"""),"Lecturer")</f>
        <v>Lecturer</v>
      </c>
      <c r="F224" s="1" t="str">
        <f ca="1">IFERROR(__xludf.DUMMYFUNCTION("""COMPUTED_VALUE"""),"jaspreet2092kaur@gmail.com")</f>
        <v>jaspreet2092kaur@gmail.com</v>
      </c>
      <c r="G224" s="1">
        <f ca="1">IFERROR(__xludf.DUMMYFUNCTION("""COMPUTED_VALUE"""),7021548383)</f>
        <v>7021548383</v>
      </c>
    </row>
    <row r="225" spans="1:7" x14ac:dyDescent="0.3">
      <c r="A225" s="1" t="str">
        <f ca="1">IFERROR(__xludf.DUMMYFUNCTION("""COMPUTED_VALUE"""),"Governement Polytechnic College, Batala")</f>
        <v>Governement Polytechnic College, Batala</v>
      </c>
      <c r="B225" s="1" t="str">
        <f ca="1">IFERROR(__xludf.DUMMYFUNCTION("""COMPUTED_VALUE"""),"Gurdaspur")</f>
        <v>Gurdaspur</v>
      </c>
      <c r="C225" s="1" t="str">
        <f ca="1">IFERROR(__xludf.DUMMYFUNCTION("""COMPUTED_VALUE"""),"Civil Engineering")</f>
        <v>Civil Engineering</v>
      </c>
      <c r="D225" s="1" t="str">
        <f ca="1">IFERROR(__xludf.DUMMYFUNCTION("""COMPUTED_VALUE"""),"Navjot Salaria")</f>
        <v>Navjot Salaria</v>
      </c>
      <c r="E225" s="1" t="str">
        <f ca="1">IFERROR(__xludf.DUMMYFUNCTION("""COMPUTED_VALUE"""),"Lecturer")</f>
        <v>Lecturer</v>
      </c>
      <c r="F225" s="1" t="str">
        <f ca="1">IFERROR(__xludf.DUMMYFUNCTION("""COMPUTED_VALUE"""),"navjotslr@gmail.com")</f>
        <v>navjotslr@gmail.com</v>
      </c>
      <c r="G225" s="1">
        <f ca="1">IFERROR(__xludf.DUMMYFUNCTION("""COMPUTED_VALUE"""),8872997768)</f>
        <v>8872997768</v>
      </c>
    </row>
    <row r="226" spans="1:7" x14ac:dyDescent="0.3">
      <c r="A226" s="1" t="str">
        <f ca="1">IFERROR(__xludf.DUMMYFUNCTION("""COMPUTED_VALUE"""),"Governement Polytechnic College, Batala")</f>
        <v>Governement Polytechnic College, Batala</v>
      </c>
      <c r="B226" s="1" t="str">
        <f ca="1">IFERROR(__xludf.DUMMYFUNCTION("""COMPUTED_VALUE"""),"Gurdaspur")</f>
        <v>Gurdaspur</v>
      </c>
      <c r="C226" s="1" t="str">
        <f ca="1">IFERROR(__xludf.DUMMYFUNCTION("""COMPUTED_VALUE"""),"Electronics and Communications Engineering")</f>
        <v>Electronics and Communications Engineering</v>
      </c>
      <c r="D226" s="1" t="str">
        <f ca="1">IFERROR(__xludf.DUMMYFUNCTION("""COMPUTED_VALUE"""),"Rajinder Kumar")</f>
        <v>Rajinder Kumar</v>
      </c>
      <c r="E226" s="1" t="str">
        <f ca="1">IFERROR(__xludf.DUMMYFUNCTION("""COMPUTED_VALUE"""),"Lecturer")</f>
        <v>Lecturer</v>
      </c>
      <c r="F226" s="1" t="str">
        <f ca="1">IFERROR(__xludf.DUMMYFUNCTION("""COMPUTED_VALUE"""),"rajinderkumar92@gmail.com")</f>
        <v>rajinderkumar92@gmail.com</v>
      </c>
      <c r="G226" s="1">
        <f ca="1">IFERROR(__xludf.DUMMYFUNCTION("""COMPUTED_VALUE"""),9478439321)</f>
        <v>9478439321</v>
      </c>
    </row>
    <row r="227" spans="1:7" x14ac:dyDescent="0.3">
      <c r="A227" s="1" t="str">
        <f ca="1">IFERROR(__xludf.DUMMYFUNCTION("""COMPUTED_VALUE"""),"Governement Polytechnic College, Batala")</f>
        <v>Governement Polytechnic College, Batala</v>
      </c>
      <c r="B227" s="1" t="str">
        <f ca="1">IFERROR(__xludf.DUMMYFUNCTION("""COMPUTED_VALUE"""),"Gurdaspur")</f>
        <v>Gurdaspur</v>
      </c>
      <c r="C227" s="1" t="str">
        <f ca="1">IFERROR(__xludf.DUMMYFUNCTION("""COMPUTED_VALUE"""),"Chemical Engineering")</f>
        <v>Chemical Engineering</v>
      </c>
      <c r="D227" s="1" t="str">
        <f ca="1">IFERROR(__xludf.DUMMYFUNCTION("""COMPUTED_VALUE"""),"Ranju Salotra")</f>
        <v>Ranju Salotra</v>
      </c>
      <c r="E227" s="1" t="str">
        <f ca="1">IFERROR(__xludf.DUMMYFUNCTION("""COMPUTED_VALUE"""),"Lecturer")</f>
        <v>Lecturer</v>
      </c>
      <c r="F227" s="1" t="str">
        <f ca="1">IFERROR(__xludf.DUMMYFUNCTION("""COMPUTED_VALUE"""),"ranjuohri@rediffmail.com")</f>
        <v>ranjuohri@rediffmail.com</v>
      </c>
      <c r="G227" s="1">
        <f ca="1">IFERROR(__xludf.DUMMYFUNCTION("""COMPUTED_VALUE"""),7889221847)</f>
        <v>7889221847</v>
      </c>
    </row>
    <row r="228" spans="1:7" x14ac:dyDescent="0.3">
      <c r="A228" s="1" t="str">
        <f ca="1">IFERROR(__xludf.DUMMYFUNCTION("""COMPUTED_VALUE"""),"Governement Polytechnic College, Batala")</f>
        <v>Governement Polytechnic College, Batala</v>
      </c>
      <c r="B228" s="1" t="str">
        <f ca="1">IFERROR(__xludf.DUMMYFUNCTION("""COMPUTED_VALUE"""),"Gurdaspur")</f>
        <v>Gurdaspur</v>
      </c>
      <c r="C228" s="1" t="str">
        <f ca="1">IFERROR(__xludf.DUMMYFUNCTION("""COMPUTED_VALUE"""),"Chemical Engineering")</f>
        <v>Chemical Engineering</v>
      </c>
      <c r="D228" s="1" t="str">
        <f ca="1">IFERROR(__xludf.DUMMYFUNCTION("""COMPUTED_VALUE"""),"Rekha")</f>
        <v>Rekha</v>
      </c>
      <c r="E228" s="1" t="str">
        <f ca="1">IFERROR(__xludf.DUMMYFUNCTION("""COMPUTED_VALUE"""),"Sr. Lecturer")</f>
        <v>Sr. Lecturer</v>
      </c>
      <c r="F228" s="1" t="str">
        <f ca="1">IFERROR(__xludf.DUMMYFUNCTION("""COMPUTED_VALUE"""),"rekha411@gmail.com")</f>
        <v>rekha411@gmail.com</v>
      </c>
      <c r="G228" s="1">
        <f ca="1">IFERROR(__xludf.DUMMYFUNCTION("""COMPUTED_VALUE"""),9501118348)</f>
        <v>9501118348</v>
      </c>
    </row>
    <row r="229" spans="1:7" x14ac:dyDescent="0.3">
      <c r="A229" s="1" t="str">
        <f ca="1">IFERROR(__xludf.DUMMYFUNCTION("""COMPUTED_VALUE"""),"Governement Polytechnic College, Batala")</f>
        <v>Governement Polytechnic College, Batala</v>
      </c>
      <c r="B229" s="1" t="str">
        <f ca="1">IFERROR(__xludf.DUMMYFUNCTION("""COMPUTED_VALUE"""),"Gurdaspur")</f>
        <v>Gurdaspur</v>
      </c>
      <c r="C229" s="1" t="str">
        <f ca="1">IFERROR(__xludf.DUMMYFUNCTION("""COMPUTED_VALUE"""),"Electronics and Communications Engineering")</f>
        <v>Electronics and Communications Engineering</v>
      </c>
      <c r="D229" s="1" t="str">
        <f ca="1">IFERROR(__xludf.DUMMYFUNCTION("""COMPUTED_VALUE"""),"Rohit Wandra")</f>
        <v>Rohit Wandra</v>
      </c>
      <c r="E229" s="1" t="str">
        <f ca="1">IFERROR(__xludf.DUMMYFUNCTION("""COMPUTED_VALUE"""),"Lecturer")</f>
        <v>Lecturer</v>
      </c>
      <c r="F229" s="1" t="str">
        <f ca="1">IFERROR(__xludf.DUMMYFUNCTION("""COMPUTED_VALUE"""),"ltrohit.ram@gmail.com")</f>
        <v>ltrohit.ram@gmail.com</v>
      </c>
      <c r="G229" s="1">
        <f ca="1">IFERROR(__xludf.DUMMYFUNCTION("""COMPUTED_VALUE"""),7009929280)</f>
        <v>7009929280</v>
      </c>
    </row>
    <row r="230" spans="1:7" x14ac:dyDescent="0.3">
      <c r="A230" s="1" t="str">
        <f ca="1">IFERROR(__xludf.DUMMYFUNCTION("""COMPUTED_VALUE"""),"Governement Polytechnic College, Batala")</f>
        <v>Governement Polytechnic College, Batala</v>
      </c>
      <c r="B230" s="1" t="str">
        <f ca="1">IFERROR(__xludf.DUMMYFUNCTION("""COMPUTED_VALUE"""),"Gurdaspur")</f>
        <v>Gurdaspur</v>
      </c>
      <c r="C230" s="1" t="str">
        <f ca="1">IFERROR(__xludf.DUMMYFUNCTION("""COMPUTED_VALUE"""),"Electronics and Communications Engineering")</f>
        <v>Electronics and Communications Engineering</v>
      </c>
      <c r="D230" s="1" t="str">
        <f ca="1">IFERROR(__xludf.DUMMYFUNCTION("""COMPUTED_VALUE"""),"Sahib Singh")</f>
        <v>Sahib Singh</v>
      </c>
      <c r="E230" s="1" t="str">
        <f ca="1">IFERROR(__xludf.DUMMYFUNCTION("""COMPUTED_VALUE"""),"Lecturer")</f>
        <v>Lecturer</v>
      </c>
      <c r="F230" s="1" t="str">
        <f ca="1">IFERROR(__xludf.DUMMYFUNCTION("""COMPUTED_VALUE"""),"taupal18@gmail.com")</f>
        <v>taupal18@gmail.com</v>
      </c>
      <c r="G230" s="1">
        <f ca="1">IFERROR(__xludf.DUMMYFUNCTION("""COMPUTED_VALUE"""),9501118383)</f>
        <v>9501118383</v>
      </c>
    </row>
    <row r="231" spans="1:7" x14ac:dyDescent="0.3">
      <c r="A231" s="1" t="str">
        <f ca="1">IFERROR(__xludf.DUMMYFUNCTION("""COMPUTED_VALUE"""),"Governement Polytechnic College, Batala")</f>
        <v>Governement Polytechnic College, Batala</v>
      </c>
      <c r="B231" s="1" t="str">
        <f ca="1">IFERROR(__xludf.DUMMYFUNCTION("""COMPUTED_VALUE"""),"Gurdaspur")</f>
        <v>Gurdaspur</v>
      </c>
      <c r="C231" s="1" t="str">
        <f ca="1">IFERROR(__xludf.DUMMYFUNCTION("""COMPUTED_VALUE"""),"Chemical Engineering")</f>
        <v>Chemical Engineering</v>
      </c>
      <c r="D231" s="1" t="str">
        <f ca="1">IFERROR(__xludf.DUMMYFUNCTION("""COMPUTED_VALUE"""),"Shalini Mahajan")</f>
        <v>Shalini Mahajan</v>
      </c>
      <c r="E231" s="1" t="str">
        <f ca="1">IFERROR(__xludf.DUMMYFUNCTION("""COMPUTED_VALUE"""),"Lecturer")</f>
        <v>Lecturer</v>
      </c>
      <c r="F231" s="1" t="str">
        <f ca="1">IFERROR(__xludf.DUMMYFUNCTION("""COMPUTED_VALUE"""),"Shalini.mahajan81@gmail.com")</f>
        <v>Shalini.mahajan81@gmail.com</v>
      </c>
      <c r="G231" s="1">
        <f ca="1">IFERROR(__xludf.DUMMYFUNCTION("""COMPUTED_VALUE"""),9417312644)</f>
        <v>9417312644</v>
      </c>
    </row>
    <row r="232" spans="1:7" x14ac:dyDescent="0.3">
      <c r="A232" s="1" t="str">
        <f ca="1">IFERROR(__xludf.DUMMYFUNCTION("""COMPUTED_VALUE"""),"Governement Polytechnic College, Batala")</f>
        <v>Governement Polytechnic College, Batala</v>
      </c>
      <c r="B232" s="1" t="str">
        <f ca="1">IFERROR(__xludf.DUMMYFUNCTION("""COMPUTED_VALUE"""),"Gurdaspur")</f>
        <v>Gurdaspur</v>
      </c>
      <c r="C232" s="1" t="str">
        <f ca="1">IFERROR(__xludf.DUMMYFUNCTION("""COMPUTED_VALUE"""),"Computer Science and Engineering")</f>
        <v>Computer Science and Engineering</v>
      </c>
      <c r="D232" s="1" t="str">
        <f ca="1">IFERROR(__xludf.DUMMYFUNCTION("""COMPUTED_VALUE"""),"Shivrajan Puri")</f>
        <v>Shivrajan Puri</v>
      </c>
      <c r="E232" s="1" t="str">
        <f ca="1">IFERROR(__xludf.DUMMYFUNCTION("""COMPUTED_VALUE"""),"System Analyst")</f>
        <v>System Analyst</v>
      </c>
      <c r="F232" s="1" t="str">
        <f ca="1">IFERROR(__xludf.DUMMYFUNCTION("""COMPUTED_VALUE"""),"shivrajan1969@gmail.com")</f>
        <v>shivrajan1969@gmail.com</v>
      </c>
      <c r="G232" s="1">
        <f ca="1">IFERROR(__xludf.DUMMYFUNCTION("""COMPUTED_VALUE"""),9463311606)</f>
        <v>9463311606</v>
      </c>
    </row>
    <row r="233" spans="1:7" x14ac:dyDescent="0.3">
      <c r="A233" s="1" t="str">
        <f ca="1">IFERROR(__xludf.DUMMYFUNCTION("""COMPUTED_VALUE"""),"Governement Polytechnic College, Batala")</f>
        <v>Governement Polytechnic College, Batala</v>
      </c>
      <c r="B233" s="1" t="str">
        <f ca="1">IFERROR(__xludf.DUMMYFUNCTION("""COMPUTED_VALUE"""),"Gurdaspur")</f>
        <v>Gurdaspur</v>
      </c>
      <c r="C233" s="1" t="str">
        <f ca="1">IFERROR(__xludf.DUMMYFUNCTION("""COMPUTED_VALUE"""),"Electrical Engineering")</f>
        <v>Electrical Engineering</v>
      </c>
      <c r="D233" s="1" t="str">
        <f ca="1">IFERROR(__xludf.DUMMYFUNCTION("""COMPUTED_VALUE"""),"Sunimerjit Kaur")</f>
        <v>Sunimerjit Kaur</v>
      </c>
      <c r="E233" s="1" t="str">
        <f ca="1">IFERROR(__xludf.DUMMYFUNCTION("""COMPUTED_VALUE"""),"Lecturer")</f>
        <v>Lecturer</v>
      </c>
      <c r="F233" s="1" t="str">
        <f ca="1">IFERROR(__xludf.DUMMYFUNCTION("""COMPUTED_VALUE"""),"sunimerriar08@gmail.com")</f>
        <v>sunimerriar08@gmail.com</v>
      </c>
      <c r="G233" s="1">
        <f ca="1">IFERROR(__xludf.DUMMYFUNCTION("""COMPUTED_VALUE"""),9781986791)</f>
        <v>9781986791</v>
      </c>
    </row>
    <row r="234" spans="1:7" x14ac:dyDescent="0.3">
      <c r="A234" s="1" t="str">
        <f ca="1">IFERROR(__xludf.DUMMYFUNCTION("""COMPUTED_VALUE"""),"Governement Polytechnic College, Batala")</f>
        <v>Governement Polytechnic College, Batala</v>
      </c>
      <c r="B234" s="1" t="str">
        <f ca="1">IFERROR(__xludf.DUMMYFUNCTION("""COMPUTED_VALUE"""),"Gurdaspur")</f>
        <v>Gurdaspur</v>
      </c>
      <c r="C234" s="1" t="str">
        <f ca="1">IFERROR(__xludf.DUMMYFUNCTION("""COMPUTED_VALUE"""),"Electrical Engineering")</f>
        <v>Electrical Engineering</v>
      </c>
      <c r="D234" s="1" t="str">
        <f ca="1">IFERROR(__xludf.DUMMYFUNCTION("""COMPUTED_VALUE"""),"Vijay Kumar Minhas")</f>
        <v>Vijay Kumar Minhas</v>
      </c>
      <c r="E234" s="1" t="str">
        <f ca="1">IFERROR(__xludf.DUMMYFUNCTION("""COMPUTED_VALUE"""),"Sr. Lecturer")</f>
        <v>Sr. Lecturer</v>
      </c>
      <c r="F234" s="1" t="str">
        <f ca="1">IFERROR(__xludf.DUMMYFUNCTION("""COMPUTED_VALUE"""),"minhasvijay4u@gmail.com")</f>
        <v>minhasvijay4u@gmail.com</v>
      </c>
      <c r="G234" s="1">
        <f ca="1">IFERROR(__xludf.DUMMYFUNCTION("""COMPUTED_VALUE"""),8284060009)</f>
        <v>8284060009</v>
      </c>
    </row>
    <row r="235" spans="1:7" x14ac:dyDescent="0.3">
      <c r="A235" s="1" t="str">
        <f ca="1">IFERROR(__xludf.DUMMYFUNCTION("""COMPUTED_VALUE"""),"Governement Polytechnic College, Dinanagar")</f>
        <v>Governement Polytechnic College, Dinanagar</v>
      </c>
      <c r="B235" s="1" t="str">
        <f ca="1">IFERROR(__xludf.DUMMYFUNCTION("""COMPUTED_VALUE"""),"Gurdaspur")</f>
        <v>Gurdaspur</v>
      </c>
      <c r="C235" s="1" t="str">
        <f ca="1">IFERROR(__xludf.DUMMYFUNCTION("""COMPUTED_VALUE"""),"Computer Science and Engineering")</f>
        <v>Computer Science and Engineering</v>
      </c>
      <c r="D235" s="1" t="str">
        <f ca="1">IFERROR(__xludf.DUMMYFUNCTION("""COMPUTED_VALUE"""),"AMARJIT SINGH")</f>
        <v>AMARJIT SINGH</v>
      </c>
      <c r="E235" s="1" t="str">
        <f ca="1">IFERROR(__xludf.DUMMYFUNCTION("""COMPUTED_VALUE"""),"Lecturer")</f>
        <v>Lecturer</v>
      </c>
      <c r="F235" s="1" t="str">
        <f ca="1">IFERROR(__xludf.DUMMYFUNCTION("""COMPUTED_VALUE"""),"amarjit.as35@gmail.com")</f>
        <v>amarjit.as35@gmail.com</v>
      </c>
      <c r="G235" s="1">
        <f ca="1">IFERROR(__xludf.DUMMYFUNCTION("""COMPUTED_VALUE"""),9463717492)</f>
        <v>9463717492</v>
      </c>
    </row>
    <row r="236" spans="1:7" x14ac:dyDescent="0.3">
      <c r="A236" s="1" t="str">
        <f ca="1">IFERROR(__xludf.DUMMYFUNCTION("""COMPUTED_VALUE"""),"Governement Polytechnic College, Dinanagar")</f>
        <v>Governement Polytechnic College, Dinanagar</v>
      </c>
      <c r="B236" s="1" t="str">
        <f ca="1">IFERROR(__xludf.DUMMYFUNCTION("""COMPUTED_VALUE"""),"Gurdaspur")</f>
        <v>Gurdaspur</v>
      </c>
      <c r="C236" s="1" t="str">
        <f ca="1">IFERROR(__xludf.DUMMYFUNCTION("""COMPUTED_VALUE"""),"Electronics and Communications Engineering")</f>
        <v>Electronics and Communications Engineering</v>
      </c>
      <c r="D236" s="1" t="str">
        <f ca="1">IFERROR(__xludf.DUMMYFUNCTION("""COMPUTED_VALUE"""),"AMIT SINGH")</f>
        <v>AMIT SINGH</v>
      </c>
      <c r="E236" s="1" t="str">
        <f ca="1">IFERROR(__xludf.DUMMYFUNCTION("""COMPUTED_VALUE"""),"Lecturer")</f>
        <v>Lecturer</v>
      </c>
      <c r="F236" s="1" t="str">
        <f ca="1">IFERROR(__xludf.DUMMYFUNCTION("""COMPUTED_VALUE"""),"er.amitsingh07@gmail.com")</f>
        <v>er.amitsingh07@gmail.com</v>
      </c>
      <c r="G236" s="1">
        <f ca="1">IFERROR(__xludf.DUMMYFUNCTION("""COMPUTED_VALUE"""),9464997718)</f>
        <v>9464997718</v>
      </c>
    </row>
    <row r="237" spans="1:7" x14ac:dyDescent="0.3">
      <c r="A237" s="1" t="str">
        <f ca="1">IFERROR(__xludf.DUMMYFUNCTION("""COMPUTED_VALUE"""),"Governement Polytechnic College, Dinanagar")</f>
        <v>Governement Polytechnic College, Dinanagar</v>
      </c>
      <c r="B237" s="1" t="str">
        <f ca="1">IFERROR(__xludf.DUMMYFUNCTION("""COMPUTED_VALUE"""),"Gurdaspur")</f>
        <v>Gurdaspur</v>
      </c>
      <c r="C237" s="1" t="str">
        <f ca="1">IFERROR(__xludf.DUMMYFUNCTION("""COMPUTED_VALUE"""),"Computer Science and Engineering")</f>
        <v>Computer Science and Engineering</v>
      </c>
      <c r="D237" s="1" t="str">
        <f ca="1">IFERROR(__xludf.DUMMYFUNCTION("""COMPUTED_VALUE"""),"BIKRAMJIT SINGH")</f>
        <v>BIKRAMJIT SINGH</v>
      </c>
      <c r="E237" s="1" t="str">
        <f ca="1">IFERROR(__xludf.DUMMYFUNCTION("""COMPUTED_VALUE"""),"Sr. Lecturer")</f>
        <v>Sr. Lecturer</v>
      </c>
      <c r="F237" s="1" t="str">
        <f ca="1">IFERROR(__xludf.DUMMYFUNCTION("""COMPUTED_VALUE"""),"lehalbiks@yahoo.com")</f>
        <v>lehalbiks@yahoo.com</v>
      </c>
      <c r="G237" s="1">
        <f ca="1">IFERROR(__xludf.DUMMYFUNCTION("""COMPUTED_VALUE"""),9501017073)</f>
        <v>9501017073</v>
      </c>
    </row>
    <row r="238" spans="1:7" x14ac:dyDescent="0.3">
      <c r="A238" s="1" t="str">
        <f ca="1">IFERROR(__xludf.DUMMYFUNCTION("""COMPUTED_VALUE"""),"Governement Polytechnic College, Dinanagar")</f>
        <v>Governement Polytechnic College, Dinanagar</v>
      </c>
      <c r="B238" s="1" t="str">
        <f ca="1">IFERROR(__xludf.DUMMYFUNCTION("""COMPUTED_VALUE"""),"Gurdaspur")</f>
        <v>Gurdaspur</v>
      </c>
      <c r="C238" s="1" t="str">
        <f ca="1">IFERROR(__xludf.DUMMYFUNCTION("""COMPUTED_VALUE"""),"Workshop")</f>
        <v>Workshop</v>
      </c>
      <c r="D238" s="1" t="str">
        <f ca="1">IFERROR(__xludf.DUMMYFUNCTION("""COMPUTED_VALUE"""),"DALBIR CHAND")</f>
        <v>DALBIR CHAND</v>
      </c>
      <c r="E238" s="1" t="str">
        <f ca="1">IFERROR(__xludf.DUMMYFUNCTION("""COMPUTED_VALUE"""),"Foreman Instructor")</f>
        <v>Foreman Instructor</v>
      </c>
      <c r="F238" s="1" t="str">
        <f ca="1">IFERROR(__xludf.DUMMYFUNCTION("""COMPUTED_VALUE"""),"dalbirchand811@gmail.com")</f>
        <v>dalbirchand811@gmail.com</v>
      </c>
      <c r="G238" s="1">
        <f ca="1">IFERROR(__xludf.DUMMYFUNCTION("""COMPUTED_VALUE"""),9463312367)</f>
        <v>9463312367</v>
      </c>
    </row>
    <row r="239" spans="1:7" x14ac:dyDescent="0.3">
      <c r="A239" s="1" t="str">
        <f ca="1">IFERROR(__xludf.DUMMYFUNCTION("""COMPUTED_VALUE"""),"Governement Polytechnic College, Dinanagar")</f>
        <v>Governement Polytechnic College, Dinanagar</v>
      </c>
      <c r="B239" s="1" t="str">
        <f ca="1">IFERROR(__xludf.DUMMYFUNCTION("""COMPUTED_VALUE"""),"Gurdaspur")</f>
        <v>Gurdaspur</v>
      </c>
      <c r="C239" s="1" t="str">
        <f ca="1">IFERROR(__xludf.DUMMYFUNCTION("""COMPUTED_VALUE"""),"Computer Science and Engineering")</f>
        <v>Computer Science and Engineering</v>
      </c>
      <c r="D239" s="1" t="str">
        <f ca="1">IFERROR(__xludf.DUMMYFUNCTION("""COMPUTED_VALUE"""),"JASWINDER SINGH")</f>
        <v>JASWINDER SINGH</v>
      </c>
      <c r="E239" s="1" t="str">
        <f ca="1">IFERROR(__xludf.DUMMYFUNCTION("""COMPUTED_VALUE"""),"Lecturer")</f>
        <v>Lecturer</v>
      </c>
      <c r="F239" s="1" t="str">
        <f ca="1">IFERROR(__xludf.DUMMYFUNCTION("""COMPUTED_VALUE"""),"jaswindertpo@gmail.com")</f>
        <v>jaswindertpo@gmail.com</v>
      </c>
      <c r="G239" s="1">
        <f ca="1">IFERROR(__xludf.DUMMYFUNCTION("""COMPUTED_VALUE"""),9501018284)</f>
        <v>9501018284</v>
      </c>
    </row>
    <row r="240" spans="1:7" x14ac:dyDescent="0.3">
      <c r="A240" s="1" t="str">
        <f ca="1">IFERROR(__xludf.DUMMYFUNCTION("""COMPUTED_VALUE"""),"Governement Polytechnic College, Dinanagar")</f>
        <v>Governement Polytechnic College, Dinanagar</v>
      </c>
      <c r="B240" s="1" t="str">
        <f ca="1">IFERROR(__xludf.DUMMYFUNCTION("""COMPUTED_VALUE"""),"Gurdaspur")</f>
        <v>Gurdaspur</v>
      </c>
      <c r="C240" s="1" t="str">
        <f ca="1">IFERROR(__xludf.DUMMYFUNCTION("""COMPUTED_VALUE"""),"Computer Science and Engineering")</f>
        <v>Computer Science and Engineering</v>
      </c>
      <c r="D240" s="1" t="str">
        <f ca="1">IFERROR(__xludf.DUMMYFUNCTION("""COMPUTED_VALUE"""),"MANDEEP SINGH")</f>
        <v>MANDEEP SINGH</v>
      </c>
      <c r="E240" s="1" t="str">
        <f ca="1">IFERROR(__xludf.DUMMYFUNCTION("""COMPUTED_VALUE"""),"Lecturer")</f>
        <v>Lecturer</v>
      </c>
      <c r="F240" s="1" t="str">
        <f ca="1">IFERROR(__xludf.DUMMYFUNCTION("""COMPUTED_VALUE"""),"mandeepgpcg@gmail.com")</f>
        <v>mandeepgpcg@gmail.com</v>
      </c>
      <c r="G240" s="1">
        <f ca="1">IFERROR(__xludf.DUMMYFUNCTION("""COMPUTED_VALUE"""),9914691364)</f>
        <v>9914691364</v>
      </c>
    </row>
    <row r="241" spans="1:7" x14ac:dyDescent="0.3">
      <c r="A241" s="1" t="str">
        <f ca="1">IFERROR(__xludf.DUMMYFUNCTION("""COMPUTED_VALUE"""),"Governement Polytechnic College, Dinanagar")</f>
        <v>Governement Polytechnic College, Dinanagar</v>
      </c>
      <c r="B241" s="1" t="str">
        <f ca="1">IFERROR(__xludf.DUMMYFUNCTION("""COMPUTED_VALUE"""),"Gurdaspur")</f>
        <v>Gurdaspur</v>
      </c>
      <c r="C241" s="1" t="str">
        <f ca="1">IFERROR(__xludf.DUMMYFUNCTION("""COMPUTED_VALUE"""),"Electronics and Communications Engineering")</f>
        <v>Electronics and Communications Engineering</v>
      </c>
      <c r="D241" s="1" t="str">
        <f ca="1">IFERROR(__xludf.DUMMYFUNCTION("""COMPUTED_VALUE"""),"RACHITA MAHAJAN")</f>
        <v>RACHITA MAHAJAN</v>
      </c>
      <c r="E241" s="1" t="str">
        <f ca="1">IFERROR(__xludf.DUMMYFUNCTION("""COMPUTED_VALUE"""),"Lecturer")</f>
        <v>Lecturer</v>
      </c>
      <c r="F241" s="1" t="str">
        <f ca="1">IFERROR(__xludf.DUMMYFUNCTION("""COMPUTED_VALUE"""),"rachita.oct@gmail.com")</f>
        <v>rachita.oct@gmail.com</v>
      </c>
      <c r="G241" s="1">
        <f ca="1">IFERROR(__xludf.DUMMYFUNCTION("""COMPUTED_VALUE"""),9501118350)</f>
        <v>9501118350</v>
      </c>
    </row>
    <row r="242" spans="1:7" x14ac:dyDescent="0.3">
      <c r="A242" s="1" t="str">
        <f ca="1">IFERROR(__xludf.DUMMYFUNCTION("""COMPUTED_VALUE"""),"Governement Polytechnic College, Dinanagar")</f>
        <v>Governement Polytechnic College, Dinanagar</v>
      </c>
      <c r="B242" s="1" t="str">
        <f ca="1">IFERROR(__xludf.DUMMYFUNCTION("""COMPUTED_VALUE"""),"Gurdaspur")</f>
        <v>Gurdaspur</v>
      </c>
      <c r="C242" s="1" t="str">
        <f ca="1">IFERROR(__xludf.DUMMYFUNCTION("""COMPUTED_VALUE"""),"Applied Science")</f>
        <v>Applied Science</v>
      </c>
      <c r="D242" s="1" t="str">
        <f ca="1">IFERROR(__xludf.DUMMYFUNCTION("""COMPUTED_VALUE"""),"SANJEEV KUMAR")</f>
        <v>SANJEEV KUMAR</v>
      </c>
      <c r="E242" s="1" t="str">
        <f ca="1">IFERROR(__xludf.DUMMYFUNCTION("""COMPUTED_VALUE"""),"Lecturer")</f>
        <v>Lecturer</v>
      </c>
      <c r="F242" s="1" t="str">
        <f ca="1">IFERROR(__xludf.DUMMYFUNCTION("""COMPUTED_VALUE"""),"sanjeevaryan57@gmail.com")</f>
        <v>sanjeevaryan57@gmail.com</v>
      </c>
      <c r="G242" s="1">
        <f ca="1">IFERROR(__xludf.DUMMYFUNCTION("""COMPUTED_VALUE"""),9855940907)</f>
        <v>9855940907</v>
      </c>
    </row>
    <row r="243" spans="1:7" x14ac:dyDescent="0.3">
      <c r="A243" s="1" t="str">
        <f ca="1">IFERROR(__xludf.DUMMYFUNCTION("""COMPUTED_VALUE"""),"Governement Polytechnic College, Dinanagar")</f>
        <v>Governement Polytechnic College, Dinanagar</v>
      </c>
      <c r="B243" s="1" t="str">
        <f ca="1">IFERROR(__xludf.DUMMYFUNCTION("""COMPUTED_VALUE"""),"Gurdaspur")</f>
        <v>Gurdaspur</v>
      </c>
      <c r="C243" s="1" t="str">
        <f ca="1">IFERROR(__xludf.DUMMYFUNCTION("""COMPUTED_VALUE"""),"Electronics and Communications Engineering")</f>
        <v>Electronics and Communications Engineering</v>
      </c>
      <c r="D243" s="1" t="str">
        <f ca="1">IFERROR(__xludf.DUMMYFUNCTION("""COMPUTED_VALUE"""),"SUNITA")</f>
        <v>SUNITA</v>
      </c>
      <c r="E243" s="1" t="str">
        <f ca="1">IFERROR(__xludf.DUMMYFUNCTION("""COMPUTED_VALUE"""),"Lecturer")</f>
        <v>Lecturer</v>
      </c>
      <c r="F243" s="1" t="str">
        <f ca="1">IFERROR(__xludf.DUMMYFUNCTION("""COMPUTED_VALUE"""),"gemstonepit@gmail.com")</f>
        <v>gemstonepit@gmail.com</v>
      </c>
      <c r="G243" s="1">
        <f ca="1">IFERROR(__xludf.DUMMYFUNCTION("""COMPUTED_VALUE"""),9988180048)</f>
        <v>9988180048</v>
      </c>
    </row>
    <row r="244" spans="1:7" x14ac:dyDescent="0.3">
      <c r="A244" s="1" t="str">
        <f ca="1">IFERROR(__xludf.DUMMYFUNCTION("""COMPUTED_VALUE"""),"Governement Polytechnic College, Dinanagar")</f>
        <v>Governement Polytechnic College, Dinanagar</v>
      </c>
      <c r="B244" s="1" t="str">
        <f ca="1">IFERROR(__xludf.DUMMYFUNCTION("""COMPUTED_VALUE"""),"Gurdaspur")</f>
        <v>Gurdaspur</v>
      </c>
      <c r="C244" s="1" t="str">
        <f ca="1">IFERROR(__xludf.DUMMYFUNCTION("""COMPUTED_VALUE"""),"Electronics and Communications Engineering")</f>
        <v>Electronics and Communications Engineering</v>
      </c>
      <c r="D244" s="1" t="str">
        <f ca="1">IFERROR(__xludf.DUMMYFUNCTION("""COMPUTED_VALUE"""),"VARUN VIKRANT")</f>
        <v>VARUN VIKRANT</v>
      </c>
      <c r="E244" s="1" t="str">
        <f ca="1">IFERROR(__xludf.DUMMYFUNCTION("""COMPUTED_VALUE"""),"Lecturer")</f>
        <v>Lecturer</v>
      </c>
      <c r="F244" s="1" t="str">
        <f ca="1">IFERROR(__xludf.DUMMYFUNCTION("""COMPUTED_VALUE"""),"varunvikrant563.vv@gmail.com")</f>
        <v>varunvikrant563.vv@gmail.com</v>
      </c>
      <c r="G244" s="1">
        <f ca="1">IFERROR(__xludf.DUMMYFUNCTION("""COMPUTED_VALUE"""),9464066770)</f>
        <v>9464066770</v>
      </c>
    </row>
    <row r="245" spans="1:7" x14ac:dyDescent="0.3">
      <c r="A245" s="1" t="str">
        <f ca="1">IFERROR(__xludf.DUMMYFUNCTION("""COMPUTED_VALUE"""),"Governement Polytechnic College, Dinanagar")</f>
        <v>Governement Polytechnic College, Dinanagar</v>
      </c>
      <c r="B245" s="1" t="str">
        <f ca="1">IFERROR(__xludf.DUMMYFUNCTION("""COMPUTED_VALUE"""),"Gurdaspur")</f>
        <v>Gurdaspur</v>
      </c>
      <c r="C245" s="1" t="str">
        <f ca="1">IFERROR(__xludf.DUMMYFUNCTION("""COMPUTED_VALUE"""),"Computer Science and Engineering")</f>
        <v>Computer Science and Engineering</v>
      </c>
      <c r="D245" s="1" t="str">
        <f ca="1">IFERROR(__xludf.DUMMYFUNCTION("""COMPUTED_VALUE"""),"VIJAY KUMAR")</f>
        <v>VIJAY KUMAR</v>
      </c>
      <c r="E245" s="1" t="str">
        <f ca="1">IFERROR(__xludf.DUMMYFUNCTION("""COMPUTED_VALUE"""),"HOD")</f>
        <v>HOD</v>
      </c>
      <c r="F245" s="1" t="str">
        <f ca="1">IFERROR(__xludf.DUMMYFUNCTION("""COMPUTED_VALUE"""),"vijaythapa7776@gmail.com")</f>
        <v>vijaythapa7776@gmail.com</v>
      </c>
      <c r="G245" s="1">
        <f ca="1">IFERROR(__xludf.DUMMYFUNCTION("""COMPUTED_VALUE"""),9501021625)</f>
        <v>9501021625</v>
      </c>
    </row>
    <row r="246" spans="1:7" x14ac:dyDescent="0.3">
      <c r="A246" s="1" t="str">
        <f ca="1">IFERROR(__xludf.DUMMYFUNCTION("""COMPUTED_VALUE"""),"Governement Polytechnic College, Hoshiarpur")</f>
        <v>Governement Polytechnic College, Hoshiarpur</v>
      </c>
      <c r="B246" s="1" t="str">
        <f ca="1">IFERROR(__xludf.DUMMYFUNCTION("""COMPUTED_VALUE"""),"Hoshiarpur")</f>
        <v>Hoshiarpur</v>
      </c>
      <c r="C246" s="1" t="str">
        <f ca="1">IFERROR(__xludf.DUMMYFUNCTION("""COMPUTED_VALUE"""),"Applied Science")</f>
        <v>Applied Science</v>
      </c>
      <c r="D246" s="1" t="str">
        <f ca="1">IFERROR(__xludf.DUMMYFUNCTION("""COMPUTED_VALUE"""),"Ajay Kumar")</f>
        <v>Ajay Kumar</v>
      </c>
      <c r="E246" s="1" t="str">
        <f ca="1">IFERROR(__xludf.DUMMYFUNCTION("""COMPUTED_VALUE"""),"Lecturer")</f>
        <v>Lecturer</v>
      </c>
      <c r="F246" s="1" t="str">
        <f ca="1">IFERROR(__xludf.DUMMYFUNCTION("""COMPUTED_VALUE"""),"POSTING AT GPC JALLANDHAR")</f>
        <v>POSTING AT GPC JALLANDHAR</v>
      </c>
      <c r="G246" s="1"/>
    </row>
    <row r="247" spans="1:7" x14ac:dyDescent="0.3">
      <c r="A247" s="1" t="str">
        <f ca="1">IFERROR(__xludf.DUMMYFUNCTION("""COMPUTED_VALUE"""),"Governement Polytechnic College, Hoshiarpur")</f>
        <v>Governement Polytechnic College, Hoshiarpur</v>
      </c>
      <c r="B247" s="1" t="str">
        <f ca="1">IFERROR(__xludf.DUMMYFUNCTION("""COMPUTED_VALUE"""),"Hoshiarpur")</f>
        <v>Hoshiarpur</v>
      </c>
      <c r="C247" s="1" t="str">
        <f ca="1">IFERROR(__xludf.DUMMYFUNCTION("""COMPUTED_VALUE"""),"Mechanical Engineering")</f>
        <v>Mechanical Engineering</v>
      </c>
      <c r="D247" s="1" t="str">
        <f ca="1">IFERROR(__xludf.DUMMYFUNCTION("""COMPUTED_VALUE"""),"Akash Mehta")</f>
        <v>Akash Mehta</v>
      </c>
      <c r="E247" s="1" t="str">
        <f ca="1">IFERROR(__xludf.DUMMYFUNCTION("""COMPUTED_VALUE"""),"Lecturer")</f>
        <v>Lecturer</v>
      </c>
      <c r="F247" s="1" t="str">
        <f ca="1">IFERROR(__xludf.DUMMYFUNCTION("""COMPUTED_VALUE"""),"akashmehta582@gmail.com")</f>
        <v>akashmehta582@gmail.com</v>
      </c>
      <c r="G247" s="1">
        <f ca="1">IFERROR(__xludf.DUMMYFUNCTION("""COMPUTED_VALUE"""),8146604525)</f>
        <v>8146604525</v>
      </c>
    </row>
    <row r="248" spans="1:7" x14ac:dyDescent="0.3">
      <c r="A248" s="1" t="str">
        <f ca="1">IFERROR(__xludf.DUMMYFUNCTION("""COMPUTED_VALUE"""),"Governement Polytechnic College, Hoshiarpur")</f>
        <v>Governement Polytechnic College, Hoshiarpur</v>
      </c>
      <c r="B248" s="1" t="str">
        <f ca="1">IFERROR(__xludf.DUMMYFUNCTION("""COMPUTED_VALUE"""),"Hoshiarpur")</f>
        <v>Hoshiarpur</v>
      </c>
      <c r="C248" s="1" t="str">
        <f ca="1">IFERROR(__xludf.DUMMYFUNCTION("""COMPUTED_VALUE"""),"Pharmacy")</f>
        <v>Pharmacy</v>
      </c>
      <c r="D248" s="1" t="str">
        <f ca="1">IFERROR(__xludf.DUMMYFUNCTION("""COMPUTED_VALUE"""),"Archana Bains")</f>
        <v>Archana Bains</v>
      </c>
      <c r="E248" s="1" t="str">
        <f ca="1">IFERROR(__xludf.DUMMYFUNCTION("""COMPUTED_VALUE"""),"Lecturer")</f>
        <v>Lecturer</v>
      </c>
      <c r="F248" s="1" t="str">
        <f ca="1">IFERROR(__xludf.DUMMYFUNCTION("""COMPUTED_VALUE"""),"bainsamanzzz@gmail.com")</f>
        <v>bainsamanzzz@gmail.com</v>
      </c>
      <c r="G248" s="1">
        <f ca="1">IFERROR(__xludf.DUMMYFUNCTION("""COMPUTED_VALUE"""),7888824503)</f>
        <v>7888824503</v>
      </c>
    </row>
    <row r="249" spans="1:7" x14ac:dyDescent="0.3">
      <c r="A249" s="1" t="str">
        <f ca="1">IFERROR(__xludf.DUMMYFUNCTION("""COMPUTED_VALUE"""),"Governement Polytechnic College, Hoshiarpur")</f>
        <v>Governement Polytechnic College, Hoshiarpur</v>
      </c>
      <c r="B249" s="1" t="str">
        <f ca="1">IFERROR(__xludf.DUMMYFUNCTION("""COMPUTED_VALUE"""),"Hoshiarpur")</f>
        <v>Hoshiarpur</v>
      </c>
      <c r="C249" s="1" t="str">
        <f ca="1">IFERROR(__xludf.DUMMYFUNCTION("""COMPUTED_VALUE"""),"Applied Science")</f>
        <v>Applied Science</v>
      </c>
      <c r="D249" s="1" t="str">
        <f ca="1">IFERROR(__xludf.DUMMYFUNCTION("""COMPUTED_VALUE"""),"Archana Sharma")</f>
        <v>Archana Sharma</v>
      </c>
      <c r="E249" s="1" t="str">
        <f ca="1">IFERROR(__xludf.DUMMYFUNCTION("""COMPUTED_VALUE"""),"HOD")</f>
        <v>HOD</v>
      </c>
      <c r="F249" s="1" t="str">
        <f ca="1">IFERROR(__xludf.DUMMYFUNCTION("""COMPUTED_VALUE"""),"archsharma50@gmail.com")</f>
        <v>archsharma50@gmail.com</v>
      </c>
      <c r="G249" s="1">
        <f ca="1">IFERROR(__xludf.DUMMYFUNCTION("""COMPUTED_VALUE"""),9417526164)</f>
        <v>9417526164</v>
      </c>
    </row>
    <row r="250" spans="1:7" x14ac:dyDescent="0.3">
      <c r="A250" s="1" t="str">
        <f ca="1">IFERROR(__xludf.DUMMYFUNCTION("""COMPUTED_VALUE"""),"Governement Polytechnic College, Hoshiarpur")</f>
        <v>Governement Polytechnic College, Hoshiarpur</v>
      </c>
      <c r="B250" s="1" t="str">
        <f ca="1">IFERROR(__xludf.DUMMYFUNCTION("""COMPUTED_VALUE"""),"Hoshiarpur")</f>
        <v>Hoshiarpur</v>
      </c>
      <c r="C250" s="1" t="str">
        <f ca="1">IFERROR(__xludf.DUMMYFUNCTION("""COMPUTED_VALUE"""),"Electrical Engineering")</f>
        <v>Electrical Engineering</v>
      </c>
      <c r="D250" s="1" t="str">
        <f ca="1">IFERROR(__xludf.DUMMYFUNCTION("""COMPUTED_VALUE"""),"Arun Kumar")</f>
        <v>Arun Kumar</v>
      </c>
      <c r="E250" s="1" t="str">
        <f ca="1">IFERROR(__xludf.DUMMYFUNCTION("""COMPUTED_VALUE"""),"Sr. Lecturer")</f>
        <v>Sr. Lecturer</v>
      </c>
      <c r="F250" s="1" t="str">
        <f ca="1">IFERROR(__xludf.DUMMYFUNCTION("""COMPUTED_VALUE"""),"tpohoshiarpur@gmail.com")</f>
        <v>tpohoshiarpur@gmail.com</v>
      </c>
      <c r="G250" s="1">
        <f ca="1">IFERROR(__xludf.DUMMYFUNCTION("""COMPUTED_VALUE"""),9815575775)</f>
        <v>9815575775</v>
      </c>
    </row>
    <row r="251" spans="1:7" x14ac:dyDescent="0.3">
      <c r="A251" s="1" t="str">
        <f ca="1">IFERROR(__xludf.DUMMYFUNCTION("""COMPUTED_VALUE"""),"Governement Polytechnic College, Hoshiarpur")</f>
        <v>Governement Polytechnic College, Hoshiarpur</v>
      </c>
      <c r="B251" s="1" t="str">
        <f ca="1">IFERROR(__xludf.DUMMYFUNCTION("""COMPUTED_VALUE"""),"Hoshiarpur")</f>
        <v>Hoshiarpur</v>
      </c>
      <c r="C251" s="1" t="str">
        <f ca="1">IFERROR(__xludf.DUMMYFUNCTION("""COMPUTED_VALUE"""),"Electrical Engineering")</f>
        <v>Electrical Engineering</v>
      </c>
      <c r="D251" s="1" t="str">
        <f ca="1">IFERROR(__xludf.DUMMYFUNCTION("""COMPUTED_VALUE"""),"Deepti Jain")</f>
        <v>Deepti Jain</v>
      </c>
      <c r="E251" s="1" t="str">
        <f ca="1">IFERROR(__xludf.DUMMYFUNCTION("""COMPUTED_VALUE"""),"Sr. Lecturer")</f>
        <v>Sr. Lecturer</v>
      </c>
      <c r="F251" s="1" t="str">
        <f ca="1">IFERROR(__xludf.DUMMYFUNCTION("""COMPUTED_VALUE"""),"deeptigpcg@gmail.com")</f>
        <v>deeptigpcg@gmail.com</v>
      </c>
      <c r="G251" s="1">
        <f ca="1">IFERROR(__xludf.DUMMYFUNCTION("""COMPUTED_VALUE"""),8437021425)</f>
        <v>8437021425</v>
      </c>
    </row>
    <row r="252" spans="1:7" x14ac:dyDescent="0.3">
      <c r="A252" s="1" t="str">
        <f ca="1">IFERROR(__xludf.DUMMYFUNCTION("""COMPUTED_VALUE"""),"Governement Polytechnic College, Hoshiarpur")</f>
        <v>Governement Polytechnic College, Hoshiarpur</v>
      </c>
      <c r="B252" s="1" t="str">
        <f ca="1">IFERROR(__xludf.DUMMYFUNCTION("""COMPUTED_VALUE"""),"Hoshiarpur")</f>
        <v>Hoshiarpur</v>
      </c>
      <c r="C252" s="1" t="str">
        <f ca="1">IFERROR(__xludf.DUMMYFUNCTION("""COMPUTED_VALUE"""),"Electronics and Communications Engineering")</f>
        <v>Electronics and Communications Engineering</v>
      </c>
      <c r="D252" s="1" t="str">
        <f ca="1">IFERROR(__xludf.DUMMYFUNCTION("""COMPUTED_VALUE"""),"Deepti Sharma")</f>
        <v>Deepti Sharma</v>
      </c>
      <c r="E252" s="1" t="str">
        <f ca="1">IFERROR(__xludf.DUMMYFUNCTION("""COMPUTED_VALUE"""),"Lecturer")</f>
        <v>Lecturer</v>
      </c>
      <c r="F252" s="1" t="str">
        <f ca="1">IFERROR(__xludf.DUMMYFUNCTION("""COMPUTED_VALUE"""),"deeptisharma2493@gmail.com")</f>
        <v>deeptisharma2493@gmail.com</v>
      </c>
      <c r="G252" s="1">
        <f ca="1">IFERROR(__xludf.DUMMYFUNCTION("""COMPUTED_VALUE"""),8054984994)</f>
        <v>8054984994</v>
      </c>
    </row>
    <row r="253" spans="1:7" x14ac:dyDescent="0.3">
      <c r="A253" s="1" t="str">
        <f ca="1">IFERROR(__xludf.DUMMYFUNCTION("""COMPUTED_VALUE"""),"Governement Polytechnic College, Hoshiarpur")</f>
        <v>Governement Polytechnic College, Hoshiarpur</v>
      </c>
      <c r="B253" s="1" t="str">
        <f ca="1">IFERROR(__xludf.DUMMYFUNCTION("""COMPUTED_VALUE"""),"Hoshiarpur")</f>
        <v>Hoshiarpur</v>
      </c>
      <c r="C253" s="1" t="str">
        <f ca="1">IFERROR(__xludf.DUMMYFUNCTION("""COMPUTED_VALUE"""),"Mechanical Engineering")</f>
        <v>Mechanical Engineering</v>
      </c>
      <c r="D253" s="1" t="str">
        <f ca="1">IFERROR(__xludf.DUMMYFUNCTION("""COMPUTED_VALUE"""),"Gurdeep Singh")</f>
        <v>Gurdeep Singh</v>
      </c>
      <c r="E253" s="1" t="str">
        <f ca="1">IFERROR(__xludf.DUMMYFUNCTION("""COMPUTED_VALUE"""),"Sr. Lecturer")</f>
        <v>Sr. Lecturer</v>
      </c>
      <c r="F253" s="1" t="str">
        <f ca="1">IFERROR(__xludf.DUMMYFUNCTION("""COMPUTED_VALUE"""),"er_gurdeep@yahoo.com")</f>
        <v>er_gurdeep@yahoo.com</v>
      </c>
      <c r="G253" s="1">
        <f ca="1">IFERROR(__xludf.DUMMYFUNCTION("""COMPUTED_VALUE"""),8283840504)</f>
        <v>8283840504</v>
      </c>
    </row>
    <row r="254" spans="1:7" x14ac:dyDescent="0.3">
      <c r="A254" s="1" t="str">
        <f ca="1">IFERROR(__xludf.DUMMYFUNCTION("""COMPUTED_VALUE"""),"Governement Polytechnic College, Hoshiarpur")</f>
        <v>Governement Polytechnic College, Hoshiarpur</v>
      </c>
      <c r="B254" s="1" t="str">
        <f ca="1">IFERROR(__xludf.DUMMYFUNCTION("""COMPUTED_VALUE"""),"Hoshiarpur")</f>
        <v>Hoshiarpur</v>
      </c>
      <c r="C254" s="1" t="str">
        <f ca="1">IFERROR(__xludf.DUMMYFUNCTION("""COMPUTED_VALUE"""),"Pharmacy")</f>
        <v>Pharmacy</v>
      </c>
      <c r="D254" s="1" t="str">
        <f ca="1">IFERROR(__xludf.DUMMYFUNCTION("""COMPUTED_VALUE"""),"Gurpreet Singh")</f>
        <v>Gurpreet Singh</v>
      </c>
      <c r="E254" s="1" t="str">
        <f ca="1">IFERROR(__xludf.DUMMYFUNCTION("""COMPUTED_VALUE"""),"Lecturer")</f>
        <v>Lecturer</v>
      </c>
      <c r="F254" s="1" t="str">
        <f ca="1">IFERROR(__xludf.DUMMYFUNCTION("""COMPUTED_VALUE"""),"gurpreet121084@gmail.com")</f>
        <v>gurpreet121084@gmail.com</v>
      </c>
      <c r="G254" s="1">
        <f ca="1">IFERROR(__xludf.DUMMYFUNCTION("""COMPUTED_VALUE"""),9041749327)</f>
        <v>9041749327</v>
      </c>
    </row>
    <row r="255" spans="1:7" x14ac:dyDescent="0.3">
      <c r="A255" s="1" t="str">
        <f ca="1">IFERROR(__xludf.DUMMYFUNCTION("""COMPUTED_VALUE"""),"Governement Polytechnic College, Hoshiarpur")</f>
        <v>Governement Polytechnic College, Hoshiarpur</v>
      </c>
      <c r="B255" s="1" t="str">
        <f ca="1">IFERROR(__xludf.DUMMYFUNCTION("""COMPUTED_VALUE"""),"Hoshiarpur")</f>
        <v>Hoshiarpur</v>
      </c>
      <c r="C255" s="1" t="str">
        <f ca="1">IFERROR(__xludf.DUMMYFUNCTION("""COMPUTED_VALUE"""),"Electrical Engineering")</f>
        <v>Electrical Engineering</v>
      </c>
      <c r="D255" s="1" t="str">
        <f ca="1">IFERROR(__xludf.DUMMYFUNCTION("""COMPUTED_VALUE"""),"Harminder Singh")</f>
        <v>Harminder Singh</v>
      </c>
      <c r="E255" s="1" t="str">
        <f ca="1">IFERROR(__xludf.DUMMYFUNCTION("""COMPUTED_VALUE"""),"Sr. Lecturer")</f>
        <v>Sr. Lecturer</v>
      </c>
      <c r="F255" s="1" t="str">
        <f ca="1">IFERROR(__xludf.DUMMYFUNCTION("""COMPUTED_VALUE"""),"saini08031984@gmail.com")</f>
        <v>saini08031984@gmail.com</v>
      </c>
      <c r="G255" s="1">
        <f ca="1">IFERROR(__xludf.DUMMYFUNCTION("""COMPUTED_VALUE"""),9888117080)</f>
        <v>9888117080</v>
      </c>
    </row>
    <row r="256" spans="1:7" x14ac:dyDescent="0.3">
      <c r="A256" s="1" t="str">
        <f ca="1">IFERROR(__xludf.DUMMYFUNCTION("""COMPUTED_VALUE"""),"Governement Polytechnic College, Hoshiarpur")</f>
        <v>Governement Polytechnic College, Hoshiarpur</v>
      </c>
      <c r="B256" s="1" t="str">
        <f ca="1">IFERROR(__xludf.DUMMYFUNCTION("""COMPUTED_VALUE"""),"Hoshiarpur")</f>
        <v>Hoshiarpur</v>
      </c>
      <c r="C256" s="1" t="str">
        <f ca="1">IFERROR(__xludf.DUMMYFUNCTION("""COMPUTED_VALUE"""),"Civil Engineering")</f>
        <v>Civil Engineering</v>
      </c>
      <c r="D256" s="1" t="str">
        <f ca="1">IFERROR(__xludf.DUMMYFUNCTION("""COMPUTED_VALUE"""),"Janmeet Singh")</f>
        <v>Janmeet Singh</v>
      </c>
      <c r="E256" s="1" t="str">
        <f ca="1">IFERROR(__xludf.DUMMYFUNCTION("""COMPUTED_VALUE"""),"Lecturer")</f>
        <v>Lecturer</v>
      </c>
      <c r="F256" s="1" t="str">
        <f ca="1">IFERROR(__xludf.DUMMYFUNCTION("""COMPUTED_VALUE"""),"janmeetsingh1991@gmail.com")</f>
        <v>janmeetsingh1991@gmail.com</v>
      </c>
      <c r="G256" s="1">
        <f ca="1">IFERROR(__xludf.DUMMYFUNCTION("""COMPUTED_VALUE"""),9878764306)</f>
        <v>9878764306</v>
      </c>
    </row>
    <row r="257" spans="1:7" x14ac:dyDescent="0.3">
      <c r="A257" s="1" t="str">
        <f ca="1">IFERROR(__xludf.DUMMYFUNCTION("""COMPUTED_VALUE"""),"Governement Polytechnic College, Hoshiarpur")</f>
        <v>Governement Polytechnic College, Hoshiarpur</v>
      </c>
      <c r="B257" s="1" t="str">
        <f ca="1">IFERROR(__xludf.DUMMYFUNCTION("""COMPUTED_VALUE"""),"Hoshiarpur")</f>
        <v>Hoshiarpur</v>
      </c>
      <c r="C257" s="1" t="str">
        <f ca="1">IFERROR(__xludf.DUMMYFUNCTION("""COMPUTED_VALUE"""),"Applied Science")</f>
        <v>Applied Science</v>
      </c>
      <c r="D257" s="1" t="str">
        <f ca="1">IFERROR(__xludf.DUMMYFUNCTION("""COMPUTED_VALUE"""),"Jasmer kaur")</f>
        <v>Jasmer kaur</v>
      </c>
      <c r="E257" s="1" t="str">
        <f ca="1">IFERROR(__xludf.DUMMYFUNCTION("""COMPUTED_VALUE"""),"Sr. Lecturer")</f>
        <v>Sr. Lecturer</v>
      </c>
      <c r="F257" s="1" t="str">
        <f ca="1">IFERROR(__xludf.DUMMYFUNCTION("""COMPUTED_VALUE"""),"Kaur.jasmer1@gmail.com")</f>
        <v>Kaur.jasmer1@gmail.com</v>
      </c>
      <c r="G257" s="1">
        <f ca="1">IFERROR(__xludf.DUMMYFUNCTION("""COMPUTED_VALUE"""),9872626752)</f>
        <v>9872626752</v>
      </c>
    </row>
    <row r="258" spans="1:7" x14ac:dyDescent="0.3">
      <c r="A258" s="1" t="str">
        <f ca="1">IFERROR(__xludf.DUMMYFUNCTION("""COMPUTED_VALUE"""),"Governement Polytechnic College, Hoshiarpur")</f>
        <v>Governement Polytechnic College, Hoshiarpur</v>
      </c>
      <c r="B258" s="1" t="str">
        <f ca="1">IFERROR(__xludf.DUMMYFUNCTION("""COMPUTED_VALUE"""),"Hoshiarpur")</f>
        <v>Hoshiarpur</v>
      </c>
      <c r="C258" s="1" t="str">
        <f ca="1">IFERROR(__xludf.DUMMYFUNCTION("""COMPUTED_VALUE"""),"Pharmacy")</f>
        <v>Pharmacy</v>
      </c>
      <c r="D258" s="1" t="str">
        <f ca="1">IFERROR(__xludf.DUMMYFUNCTION("""COMPUTED_VALUE"""),"Jaswant Kaur")</f>
        <v>Jaswant Kaur</v>
      </c>
      <c r="E258" s="1" t="str">
        <f ca="1">IFERROR(__xludf.DUMMYFUNCTION("""COMPUTED_VALUE"""),"Sr. Lecturer")</f>
        <v>Sr. Lecturer</v>
      </c>
      <c r="F258" s="1" t="str">
        <f ca="1">IFERROR(__xludf.DUMMYFUNCTION("""COMPUTED_VALUE"""),"jasdogra72@gmail.com")</f>
        <v>jasdogra72@gmail.com</v>
      </c>
      <c r="G258" s="1">
        <f ca="1">IFERROR(__xludf.DUMMYFUNCTION("""COMPUTED_VALUE"""),9463307071)</f>
        <v>9463307071</v>
      </c>
    </row>
    <row r="259" spans="1:7" x14ac:dyDescent="0.3">
      <c r="A259" s="1" t="str">
        <f ca="1">IFERROR(__xludf.DUMMYFUNCTION("""COMPUTED_VALUE"""),"Governement Polytechnic College, Hoshiarpur")</f>
        <v>Governement Polytechnic College, Hoshiarpur</v>
      </c>
      <c r="B259" s="1" t="str">
        <f ca="1">IFERROR(__xludf.DUMMYFUNCTION("""COMPUTED_VALUE"""),"Hoshiarpur")</f>
        <v>Hoshiarpur</v>
      </c>
      <c r="C259" s="1" t="str">
        <f ca="1">IFERROR(__xludf.DUMMYFUNCTION("""COMPUTED_VALUE"""),"Electrical Engineering")</f>
        <v>Electrical Engineering</v>
      </c>
      <c r="D259" s="1" t="str">
        <f ca="1">IFERROR(__xludf.DUMMYFUNCTION("""COMPUTED_VALUE"""),"Kamaldeep Rahul")</f>
        <v>Kamaldeep Rahul</v>
      </c>
      <c r="E259" s="1" t="str">
        <f ca="1">IFERROR(__xludf.DUMMYFUNCTION("""COMPUTED_VALUE"""),"Lecturer")</f>
        <v>Lecturer</v>
      </c>
      <c r="F259" s="1" t="str">
        <f ca="1">IFERROR(__xludf.DUMMYFUNCTION("""COMPUTED_VALUE"""),"gpchsp12@gmail.com")</f>
        <v>gpchsp12@gmail.com</v>
      </c>
      <c r="G259" s="1">
        <f ca="1">IFERROR(__xludf.DUMMYFUNCTION("""COMPUTED_VALUE"""),7087994741)</f>
        <v>7087994741</v>
      </c>
    </row>
    <row r="260" spans="1:7" x14ac:dyDescent="0.3">
      <c r="A260" s="1" t="str">
        <f ca="1">IFERROR(__xludf.DUMMYFUNCTION("""COMPUTED_VALUE"""),"Governement Polytechnic College, Hoshiarpur")</f>
        <v>Governement Polytechnic College, Hoshiarpur</v>
      </c>
      <c r="B260" s="1" t="str">
        <f ca="1">IFERROR(__xludf.DUMMYFUNCTION("""COMPUTED_VALUE"""),"Hoshiarpur")</f>
        <v>Hoshiarpur</v>
      </c>
      <c r="C260" s="1" t="str">
        <f ca="1">IFERROR(__xludf.DUMMYFUNCTION("""COMPUTED_VALUE"""),"Electrical Engineering")</f>
        <v>Electrical Engineering</v>
      </c>
      <c r="D260" s="1" t="str">
        <f ca="1">IFERROR(__xludf.DUMMYFUNCTION("""COMPUTED_VALUE"""),"Manpreet Singh")</f>
        <v>Manpreet Singh</v>
      </c>
      <c r="E260" s="1" t="str">
        <f ca="1">IFERROR(__xludf.DUMMYFUNCTION("""COMPUTED_VALUE"""),"Lecturer")</f>
        <v>Lecturer</v>
      </c>
      <c r="F260" s="1" t="str">
        <f ca="1">IFERROR(__xludf.DUMMYFUNCTION("""COMPUTED_VALUE"""),"manpreetmani.mani81@gmail.com")</f>
        <v>manpreetmani.mani81@gmail.com</v>
      </c>
      <c r="G260" s="1">
        <f ca="1">IFERROR(__xludf.DUMMYFUNCTION("""COMPUTED_VALUE"""),9569554116)</f>
        <v>9569554116</v>
      </c>
    </row>
    <row r="261" spans="1:7" x14ac:dyDescent="0.3">
      <c r="A261" s="1" t="str">
        <f ca="1">IFERROR(__xludf.DUMMYFUNCTION("""COMPUTED_VALUE"""),"Governement Polytechnic College, Hoshiarpur")</f>
        <v>Governement Polytechnic College, Hoshiarpur</v>
      </c>
      <c r="B261" s="1" t="str">
        <f ca="1">IFERROR(__xludf.DUMMYFUNCTION("""COMPUTED_VALUE"""),"Hoshiarpur")</f>
        <v>Hoshiarpur</v>
      </c>
      <c r="C261" s="1" t="str">
        <f ca="1">IFERROR(__xludf.DUMMYFUNCTION("""COMPUTED_VALUE"""),"Mechanical Engineering")</f>
        <v>Mechanical Engineering</v>
      </c>
      <c r="D261" s="1" t="str">
        <f ca="1">IFERROR(__xludf.DUMMYFUNCTION("""COMPUTED_VALUE"""),"Munish Kaplas")</f>
        <v>Munish Kaplas</v>
      </c>
      <c r="E261" s="1" t="str">
        <f ca="1">IFERROR(__xludf.DUMMYFUNCTION("""COMPUTED_VALUE"""),"Sr. Lecturer")</f>
        <v>Sr. Lecturer</v>
      </c>
      <c r="F261" s="1" t="str">
        <f ca="1">IFERROR(__xludf.DUMMYFUNCTION("""COMPUTED_VALUE"""),"kaplasmunish@gmail.com")</f>
        <v>kaplasmunish@gmail.com</v>
      </c>
      <c r="G261" s="1">
        <f ca="1">IFERROR(__xludf.DUMMYFUNCTION("""COMPUTED_VALUE"""),9501102954)</f>
        <v>9501102954</v>
      </c>
    </row>
    <row r="262" spans="1:7" x14ac:dyDescent="0.3">
      <c r="A262" s="1" t="str">
        <f ca="1">IFERROR(__xludf.DUMMYFUNCTION("""COMPUTED_VALUE"""),"Governement Polytechnic College, Hoshiarpur")</f>
        <v>Governement Polytechnic College, Hoshiarpur</v>
      </c>
      <c r="B262" s="1" t="str">
        <f ca="1">IFERROR(__xludf.DUMMYFUNCTION("""COMPUTED_VALUE"""),"Hoshiarpur")</f>
        <v>Hoshiarpur</v>
      </c>
      <c r="C262" s="1" t="str">
        <f ca="1">IFERROR(__xludf.DUMMYFUNCTION("""COMPUTED_VALUE"""),"Computer Science and Engineering")</f>
        <v>Computer Science and Engineering</v>
      </c>
      <c r="D262" s="1" t="str">
        <f ca="1">IFERROR(__xludf.DUMMYFUNCTION("""COMPUTED_VALUE"""),"Navjit Singh")</f>
        <v>Navjit Singh</v>
      </c>
      <c r="E262" s="1" t="str">
        <f ca="1">IFERROR(__xludf.DUMMYFUNCTION("""COMPUTED_VALUE"""),"Lecturer")</f>
        <v>Lecturer</v>
      </c>
      <c r="F262" s="1" t="str">
        <f ca="1">IFERROR(__xludf.DUMMYFUNCTION("""COMPUTED_VALUE"""),"navjitsinghgpc@gmail.com")</f>
        <v>navjitsinghgpc@gmail.com</v>
      </c>
      <c r="G262" s="1">
        <f ca="1">IFERROR(__xludf.DUMMYFUNCTION("""COMPUTED_VALUE"""),9464530534)</f>
        <v>9464530534</v>
      </c>
    </row>
    <row r="263" spans="1:7" x14ac:dyDescent="0.3">
      <c r="A263" s="1" t="str">
        <f ca="1">IFERROR(__xludf.DUMMYFUNCTION("""COMPUTED_VALUE"""),"Governement Polytechnic College, Hoshiarpur")</f>
        <v>Governement Polytechnic College, Hoshiarpur</v>
      </c>
      <c r="B263" s="1" t="str">
        <f ca="1">IFERROR(__xludf.DUMMYFUNCTION("""COMPUTED_VALUE"""),"Hoshiarpur")</f>
        <v>Hoshiarpur</v>
      </c>
      <c r="C263" s="1" t="str">
        <f ca="1">IFERROR(__xludf.DUMMYFUNCTION("""COMPUTED_VALUE"""),"Plastic Technology / Chem. Engg ( Plastic &amp; Polymer)")</f>
        <v>Plastic Technology / Chem. Engg ( Plastic &amp; Polymer)</v>
      </c>
      <c r="D263" s="1" t="str">
        <f ca="1">IFERROR(__xludf.DUMMYFUNCTION("""COMPUTED_VALUE"""),"Pankaj Chawla")</f>
        <v>Pankaj Chawla</v>
      </c>
      <c r="E263" s="1" t="str">
        <f ca="1">IFERROR(__xludf.DUMMYFUNCTION("""COMPUTED_VALUE"""),"Sr. Lecturer")</f>
        <v>Sr. Lecturer</v>
      </c>
      <c r="F263" s="1" t="str">
        <f ca="1">IFERROR(__xludf.DUMMYFUNCTION("""COMPUTED_VALUE"""),"pankajteched@rediffmail.com")</f>
        <v>pankajteched@rediffmail.com</v>
      </c>
      <c r="G263" s="1">
        <f ca="1">IFERROR(__xludf.DUMMYFUNCTION("""COMPUTED_VALUE"""),9417074774)</f>
        <v>9417074774</v>
      </c>
    </row>
    <row r="264" spans="1:7" x14ac:dyDescent="0.3">
      <c r="A264" s="1" t="str">
        <f ca="1">IFERROR(__xludf.DUMMYFUNCTION("""COMPUTED_VALUE"""),"Governement Polytechnic College, Hoshiarpur")</f>
        <v>Governement Polytechnic College, Hoshiarpur</v>
      </c>
      <c r="B264" s="1" t="str">
        <f ca="1">IFERROR(__xludf.DUMMYFUNCTION("""COMPUTED_VALUE"""),"Hoshiarpur")</f>
        <v>Hoshiarpur</v>
      </c>
      <c r="C264" s="1" t="str">
        <f ca="1">IFERROR(__xludf.DUMMYFUNCTION("""COMPUTED_VALUE"""),"Workshop")</f>
        <v>Workshop</v>
      </c>
      <c r="D264" s="1" t="str">
        <f ca="1">IFERROR(__xludf.DUMMYFUNCTION("""COMPUTED_VALUE"""),"Rajesh Kumar")</f>
        <v>Rajesh Kumar</v>
      </c>
      <c r="E264" s="1" t="str">
        <f ca="1">IFERROR(__xludf.DUMMYFUNCTION("""COMPUTED_VALUE"""),"Foreman Instructor")</f>
        <v>Foreman Instructor</v>
      </c>
      <c r="F264" s="1" t="str">
        <f ca="1">IFERROR(__xludf.DUMMYFUNCTION("""COMPUTED_VALUE"""),"Phulrajesh74@gmail.com ")</f>
        <v xml:space="preserve">Phulrajesh74@gmail.com </v>
      </c>
      <c r="G264" s="1">
        <f ca="1">IFERROR(__xludf.DUMMYFUNCTION("""COMPUTED_VALUE"""),9501020716)</f>
        <v>9501020716</v>
      </c>
    </row>
    <row r="265" spans="1:7" x14ac:dyDescent="0.3">
      <c r="A265" s="1" t="str">
        <f ca="1">IFERROR(__xludf.DUMMYFUNCTION("""COMPUTED_VALUE"""),"Governement Polytechnic College, Hoshiarpur")</f>
        <v>Governement Polytechnic College, Hoshiarpur</v>
      </c>
      <c r="B265" s="1" t="str">
        <f ca="1">IFERROR(__xludf.DUMMYFUNCTION("""COMPUTED_VALUE"""),"Hoshiarpur")</f>
        <v>Hoshiarpur</v>
      </c>
      <c r="C265" s="1" t="str">
        <f ca="1">IFERROR(__xludf.DUMMYFUNCTION("""COMPUTED_VALUE"""),"Plastic Technology / Chem. Engg ( Plastic &amp; Polymer)")</f>
        <v>Plastic Technology / Chem. Engg ( Plastic &amp; Polymer)</v>
      </c>
      <c r="D265" s="1" t="str">
        <f ca="1">IFERROR(__xludf.DUMMYFUNCTION("""COMPUTED_VALUE"""),"Rajesh Kumar Dhunna")</f>
        <v>Rajesh Kumar Dhunna</v>
      </c>
      <c r="E265" s="1" t="str">
        <f ca="1">IFERROR(__xludf.DUMMYFUNCTION("""COMPUTED_VALUE"""),"HOD")</f>
        <v>HOD</v>
      </c>
      <c r="F265" s="1" t="str">
        <f ca="1">IFERROR(__xludf.DUMMYFUNCTION("""COMPUTED_VALUE"""),"r.dhunna@rediffmail.com")</f>
        <v>r.dhunna@rediffmail.com</v>
      </c>
      <c r="G265" s="1">
        <f ca="1">IFERROR(__xludf.DUMMYFUNCTION("""COMPUTED_VALUE"""),9417349438)</f>
        <v>9417349438</v>
      </c>
    </row>
    <row r="266" spans="1:7" x14ac:dyDescent="0.3">
      <c r="A266" s="1" t="str">
        <f ca="1">IFERROR(__xludf.DUMMYFUNCTION("""COMPUTED_VALUE"""),"Governement Polytechnic College, Hoshiarpur")</f>
        <v>Governement Polytechnic College, Hoshiarpur</v>
      </c>
      <c r="B266" s="1" t="str">
        <f ca="1">IFERROR(__xludf.DUMMYFUNCTION("""COMPUTED_VALUE"""),"Hoshiarpur")</f>
        <v>Hoshiarpur</v>
      </c>
      <c r="C266" s="1" t="str">
        <f ca="1">IFERROR(__xludf.DUMMYFUNCTION("""COMPUTED_VALUE"""),"Applied Science")</f>
        <v>Applied Science</v>
      </c>
      <c r="D266" s="1" t="str">
        <f ca="1">IFERROR(__xludf.DUMMYFUNCTION("""COMPUTED_VALUE"""),"Rajwinder kaur")</f>
        <v>Rajwinder kaur</v>
      </c>
      <c r="E266" s="1" t="str">
        <f ca="1">IFERROR(__xludf.DUMMYFUNCTION("""COMPUTED_VALUE"""),"Lecturer")</f>
        <v>Lecturer</v>
      </c>
      <c r="F266" s="1" t="str">
        <f ca="1">IFERROR(__xludf.DUMMYFUNCTION("""COMPUTED_VALUE"""),"rajwinder12693@gmail.com")</f>
        <v>rajwinder12693@gmail.com</v>
      </c>
      <c r="G266" s="1">
        <f ca="1">IFERROR(__xludf.DUMMYFUNCTION("""COMPUTED_VALUE"""),7814054308)</f>
        <v>7814054308</v>
      </c>
    </row>
    <row r="267" spans="1:7" x14ac:dyDescent="0.3">
      <c r="A267" s="1" t="str">
        <f ca="1">IFERROR(__xludf.DUMMYFUNCTION("""COMPUTED_VALUE"""),"Governement Polytechnic College, Hoshiarpur")</f>
        <v>Governement Polytechnic College, Hoshiarpur</v>
      </c>
      <c r="B267" s="1" t="str">
        <f ca="1">IFERROR(__xludf.DUMMYFUNCTION("""COMPUTED_VALUE"""),"Hoshiarpur")</f>
        <v>Hoshiarpur</v>
      </c>
      <c r="C267" s="1" t="str">
        <f ca="1">IFERROR(__xludf.DUMMYFUNCTION("""COMPUTED_VALUE"""),"Pharmacy")</f>
        <v>Pharmacy</v>
      </c>
      <c r="D267" s="1" t="str">
        <f ca="1">IFERROR(__xludf.DUMMYFUNCTION("""COMPUTED_VALUE"""),"Roopesh Sharma")</f>
        <v>Roopesh Sharma</v>
      </c>
      <c r="E267" s="1" t="str">
        <f ca="1">IFERROR(__xludf.DUMMYFUNCTION("""COMPUTED_VALUE"""),"Lecturer")</f>
        <v>Lecturer</v>
      </c>
      <c r="F267" s="1" t="str">
        <f ca="1">IFERROR(__xludf.DUMMYFUNCTION("""COMPUTED_VALUE"""),"rvashishth29@gmail.com")</f>
        <v>rvashishth29@gmail.com</v>
      </c>
      <c r="G267" s="1">
        <f ca="1">IFERROR(__xludf.DUMMYFUNCTION("""COMPUTED_VALUE"""),9888777898)</f>
        <v>9888777898</v>
      </c>
    </row>
    <row r="268" spans="1:7" x14ac:dyDescent="0.3">
      <c r="A268" s="1" t="str">
        <f ca="1">IFERROR(__xludf.DUMMYFUNCTION("""COMPUTED_VALUE"""),"Governement Polytechnic College, Hoshiarpur")</f>
        <v>Governement Polytechnic College, Hoshiarpur</v>
      </c>
      <c r="B268" s="1" t="str">
        <f ca="1">IFERROR(__xludf.DUMMYFUNCTION("""COMPUTED_VALUE"""),"Hoshiarpur")</f>
        <v>Hoshiarpur</v>
      </c>
      <c r="C268" s="1" t="str">
        <f ca="1">IFERROR(__xludf.DUMMYFUNCTION("""COMPUTED_VALUE"""),"Computer Science and Engineering")</f>
        <v>Computer Science and Engineering</v>
      </c>
      <c r="D268" s="1" t="str">
        <f ca="1">IFERROR(__xludf.DUMMYFUNCTION("""COMPUTED_VALUE"""),"Sapna")</f>
        <v>Sapna</v>
      </c>
      <c r="E268" s="1" t="str">
        <f ca="1">IFERROR(__xludf.DUMMYFUNCTION("""COMPUTED_VALUE"""),"Sr. Lecturer")</f>
        <v>Sr. Lecturer</v>
      </c>
      <c r="F268" s="1" t="str">
        <f ca="1">IFERROR(__xludf.DUMMYFUNCTION("""COMPUTED_VALUE"""),"bassan609@gmail.com")</f>
        <v>bassan609@gmail.com</v>
      </c>
      <c r="G268" s="1">
        <f ca="1">IFERROR(__xludf.DUMMYFUNCTION("""COMPUTED_VALUE"""),8283829972)</f>
        <v>8283829972</v>
      </c>
    </row>
    <row r="269" spans="1:7" x14ac:dyDescent="0.3">
      <c r="A269" s="1" t="str">
        <f ca="1">IFERROR(__xludf.DUMMYFUNCTION("""COMPUTED_VALUE"""),"Governement Polytechnic College, Hoshiarpur")</f>
        <v>Governement Polytechnic College, Hoshiarpur</v>
      </c>
      <c r="B269" s="1" t="str">
        <f ca="1">IFERROR(__xludf.DUMMYFUNCTION("""COMPUTED_VALUE"""),"Hoshiarpur")</f>
        <v>Hoshiarpur</v>
      </c>
      <c r="C269" s="1" t="str">
        <f ca="1">IFERROR(__xludf.DUMMYFUNCTION("""COMPUTED_VALUE"""),"Electronics and Communications Engineering")</f>
        <v>Electronics and Communications Engineering</v>
      </c>
      <c r="D269" s="1" t="str">
        <f ca="1">IFERROR(__xludf.DUMMYFUNCTION("""COMPUTED_VALUE"""),"Sumit Verma")</f>
        <v>Sumit Verma</v>
      </c>
      <c r="E269" s="1" t="str">
        <f ca="1">IFERROR(__xludf.DUMMYFUNCTION("""COMPUTED_VALUE"""),"Lecturer")</f>
        <v>Lecturer</v>
      </c>
      <c r="F269" s="1" t="str">
        <f ca="1">IFERROR(__xludf.DUMMYFUNCTION("""COMPUTED_VALUE"""),"sumitverma100@gmail.com")</f>
        <v>sumitverma100@gmail.com</v>
      </c>
      <c r="G269" s="1">
        <f ca="1">IFERROR(__xludf.DUMMYFUNCTION("""COMPUTED_VALUE"""),9988808390)</f>
        <v>9988808390</v>
      </c>
    </row>
    <row r="270" spans="1:7" x14ac:dyDescent="0.3">
      <c r="A270" s="1" t="str">
        <f ca="1">IFERROR(__xludf.DUMMYFUNCTION("""COMPUTED_VALUE"""),"Governement Polytechnic College, Hoshiarpur")</f>
        <v>Governement Polytechnic College, Hoshiarpur</v>
      </c>
      <c r="B270" s="1" t="str">
        <f ca="1">IFERROR(__xludf.DUMMYFUNCTION("""COMPUTED_VALUE"""),"Hoshiarpur")</f>
        <v>Hoshiarpur</v>
      </c>
      <c r="C270" s="1" t="str">
        <f ca="1">IFERROR(__xludf.DUMMYFUNCTION("""COMPUTED_VALUE"""),"Civil Engineering")</f>
        <v>Civil Engineering</v>
      </c>
      <c r="D270" s="1" t="str">
        <f ca="1">IFERROR(__xludf.DUMMYFUNCTION("""COMPUTED_VALUE"""),"Swaran Singh")</f>
        <v>Swaran Singh</v>
      </c>
      <c r="E270" s="1" t="str">
        <f ca="1">IFERROR(__xludf.DUMMYFUNCTION("""COMPUTED_VALUE"""),"HOD")</f>
        <v>HOD</v>
      </c>
      <c r="F270" s="1" t="str">
        <f ca="1">IFERROR(__xludf.DUMMYFUNCTION("""COMPUTED_VALUE"""),"RETIRED")</f>
        <v>RETIRED</v>
      </c>
      <c r="G270" s="1"/>
    </row>
    <row r="271" spans="1:7" x14ac:dyDescent="0.3">
      <c r="A271" s="1" t="str">
        <f ca="1">IFERROR(__xludf.DUMMYFUNCTION("""COMPUTED_VALUE"""),"Governement Polytechnic College, Hoshiarpur")</f>
        <v>Governement Polytechnic College, Hoshiarpur</v>
      </c>
      <c r="B271" s="1" t="str">
        <f ca="1">IFERROR(__xludf.DUMMYFUNCTION("""COMPUTED_VALUE"""),"Hoshiarpur")</f>
        <v>Hoshiarpur</v>
      </c>
      <c r="C271" s="1" t="str">
        <f ca="1">IFERROR(__xludf.DUMMYFUNCTION("""COMPUTED_VALUE"""),"Electrical Engineering")</f>
        <v>Electrical Engineering</v>
      </c>
      <c r="D271" s="1" t="str">
        <f ca="1">IFERROR(__xludf.DUMMYFUNCTION("""COMPUTED_VALUE"""),"Varinder Pal Singh")</f>
        <v>Varinder Pal Singh</v>
      </c>
      <c r="E271" s="1" t="str">
        <f ca="1">IFERROR(__xludf.DUMMYFUNCTION("""COMPUTED_VALUE"""),"Lecturer")</f>
        <v>Lecturer</v>
      </c>
      <c r="F271" s="1" t="str">
        <f ca="1">IFERROR(__xludf.DUMMYFUNCTION("""COMPUTED_VALUE"""),"vp1841984online@gmail.com")</f>
        <v>vp1841984online@gmail.com</v>
      </c>
      <c r="G271" s="1">
        <f ca="1">IFERROR(__xludf.DUMMYFUNCTION("""COMPUTED_VALUE"""),9988883165)</f>
        <v>9988883165</v>
      </c>
    </row>
    <row r="272" spans="1:7" x14ac:dyDescent="0.3">
      <c r="A272" s="1" t="str">
        <f ca="1">IFERROR(__xludf.DUMMYFUNCTION("""COMPUTED_VALUE"""),"Governement Polytechnic College, Hoshiarpur")</f>
        <v>Governement Polytechnic College, Hoshiarpur</v>
      </c>
      <c r="B272" s="1" t="str">
        <f ca="1">IFERROR(__xludf.DUMMYFUNCTION("""COMPUTED_VALUE"""),"Hoshiarpur")</f>
        <v>Hoshiarpur</v>
      </c>
      <c r="C272" s="1" t="str">
        <f ca="1">IFERROR(__xludf.DUMMYFUNCTION("""COMPUTED_VALUE"""),"Computer Science and Engineering")</f>
        <v>Computer Science and Engineering</v>
      </c>
      <c r="D272" s="1" t="str">
        <f ca="1">IFERROR(__xludf.DUMMYFUNCTION("""COMPUTED_VALUE"""),"Vipul Bagga")</f>
        <v>Vipul Bagga</v>
      </c>
      <c r="E272" s="1" t="str">
        <f ca="1">IFERROR(__xludf.DUMMYFUNCTION("""COMPUTED_VALUE"""),"HOD")</f>
        <v>HOD</v>
      </c>
      <c r="F272" s="1" t="str">
        <f ca="1">IFERROR(__xludf.DUMMYFUNCTION("""COMPUTED_VALUE"""),"vipul.bagga1970@gmail.com")</f>
        <v>vipul.bagga1970@gmail.com</v>
      </c>
      <c r="G272" s="1">
        <f ca="1">IFERROR(__xludf.DUMMYFUNCTION("""COMPUTED_VALUE"""),9815635276)</f>
        <v>9815635276</v>
      </c>
    </row>
    <row r="273" spans="1:7" x14ac:dyDescent="0.3">
      <c r="A273" s="1" t="str">
        <f ca="1">IFERROR(__xludf.DUMMYFUNCTION("""COMPUTED_VALUE"""),"Governement Polytechnic College, Hoshiarpur")</f>
        <v>Governement Polytechnic College, Hoshiarpur</v>
      </c>
      <c r="B273" s="1" t="str">
        <f ca="1">IFERROR(__xludf.DUMMYFUNCTION("""COMPUTED_VALUE"""),"Hoshiarpur")</f>
        <v>Hoshiarpur</v>
      </c>
      <c r="C273" s="1" t="str">
        <f ca="1">IFERROR(__xludf.DUMMYFUNCTION("""COMPUTED_VALUE"""),"Plastic Technology / Chem. Engg ( Plastic &amp; Polymer)")</f>
        <v>Plastic Technology / Chem. Engg ( Plastic &amp; Polymer)</v>
      </c>
      <c r="D273" s="1" t="str">
        <f ca="1">IFERROR(__xludf.DUMMYFUNCTION("""COMPUTED_VALUE"""),"Vishal Angurana")</f>
        <v>Vishal Angurana</v>
      </c>
      <c r="E273" s="1" t="str">
        <f ca="1">IFERROR(__xludf.DUMMYFUNCTION("""COMPUTED_VALUE"""),"Sr. Lecturer")</f>
        <v>Sr. Lecturer</v>
      </c>
      <c r="F273" s="1" t="str">
        <f ca="1">IFERROR(__xludf.DUMMYFUNCTION("""COMPUTED_VALUE"""),"vishalangurana@gmail.com")</f>
        <v>vishalangurana@gmail.com</v>
      </c>
      <c r="G273" s="1">
        <f ca="1">IFERROR(__xludf.DUMMYFUNCTION("""COMPUTED_VALUE"""),9465469498)</f>
        <v>9465469498</v>
      </c>
    </row>
    <row r="274" spans="1:7" x14ac:dyDescent="0.3">
      <c r="A274" s="1" t="str">
        <f ca="1">IFERROR(__xludf.DUMMYFUNCTION("""COMPUTED_VALUE"""),"Governement Polytechnic College, Hoshiarpur")</f>
        <v>Governement Polytechnic College, Hoshiarpur</v>
      </c>
      <c r="B274" s="1" t="str">
        <f ca="1">IFERROR(__xludf.DUMMYFUNCTION("""COMPUTED_VALUE"""),"Hoshiarpur")</f>
        <v>Hoshiarpur</v>
      </c>
      <c r="C274" s="1" t="str">
        <f ca="1">IFERROR(__xludf.DUMMYFUNCTION("""COMPUTED_VALUE"""),"Applied Science")</f>
        <v>Applied Science</v>
      </c>
      <c r="D274" s="1" t="str">
        <f ca="1">IFERROR(__xludf.DUMMYFUNCTION("""COMPUTED_VALUE"""),"Smt. Shalini")</f>
        <v>Smt. Shalini</v>
      </c>
      <c r="E274" s="1" t="str">
        <f ca="1">IFERROR(__xludf.DUMMYFUNCTION("""COMPUTED_VALUE"""),"Lecturer")</f>
        <v>Lecturer</v>
      </c>
      <c r="F274" s="1" t="str">
        <f ca="1">IFERROR(__xludf.DUMMYFUNCTION("""COMPUTED_VALUE"""),"shalinigpcg5@gmail.com")</f>
        <v>shalinigpcg5@gmail.com</v>
      </c>
      <c r="G274" s="1">
        <f ca="1">IFERROR(__xludf.DUMMYFUNCTION("""COMPUTED_VALUE"""),9501118326)</f>
        <v>9501118326</v>
      </c>
    </row>
    <row r="275" spans="1:7" x14ac:dyDescent="0.3">
      <c r="A275" s="1" t="str">
        <f ca="1">IFERROR(__xludf.DUMMYFUNCTION("""COMPUTED_VALUE"""),"Governement Polytechnic College, Hoshiarpur")</f>
        <v>Governement Polytechnic College, Hoshiarpur</v>
      </c>
      <c r="B275" s="1" t="str">
        <f ca="1">IFERROR(__xludf.DUMMYFUNCTION("""COMPUTED_VALUE"""),"Hoshiarpur ")</f>
        <v xml:space="preserve">Hoshiarpur </v>
      </c>
      <c r="C275" s="1" t="str">
        <f ca="1">IFERROR(__xludf.DUMMYFUNCTION("""COMPUTED_VALUE"""),"Mechanical Engineering ")</f>
        <v xml:space="preserve">Mechanical Engineering </v>
      </c>
      <c r="D275" s="1" t="str">
        <f ca="1">IFERROR(__xludf.DUMMYFUNCTION("""COMPUTED_VALUE"""),"Sh. Satnam")</f>
        <v>Sh. Satnam</v>
      </c>
      <c r="E275" s="1" t="str">
        <f ca="1">IFERROR(__xludf.DUMMYFUNCTION("""COMPUTED_VALUE"""),"HoD")</f>
        <v>HoD</v>
      </c>
      <c r="F275" s="1" t="str">
        <f ca="1">IFERROR(__xludf.DUMMYFUNCTION("""COMPUTED_VALUE"""),"satnam1006@yahoo.com")</f>
        <v>satnam1006@yahoo.com</v>
      </c>
      <c r="G275" s="1">
        <f ca="1">IFERROR(__xludf.DUMMYFUNCTION("""COMPUTED_VALUE"""),9501654700)</f>
        <v>9501654700</v>
      </c>
    </row>
    <row r="276" spans="1:7" x14ac:dyDescent="0.3">
      <c r="A276" s="1" t="str">
        <f ca="1">IFERROR(__xludf.DUMMYFUNCTION("""COMPUTED_VALUE"""),"Governement Polytechnic College, Talwara")</f>
        <v>Governement Polytechnic College, Talwara</v>
      </c>
      <c r="B276" s="1" t="str">
        <f ca="1">IFERROR(__xludf.DUMMYFUNCTION("""COMPUTED_VALUE"""),"Hoshiarpur")</f>
        <v>Hoshiarpur</v>
      </c>
      <c r="C276" s="1" t="str">
        <f ca="1">IFERROR(__xludf.DUMMYFUNCTION("""COMPUTED_VALUE"""),"Computer Science and Engineering")</f>
        <v>Computer Science and Engineering</v>
      </c>
      <c r="D276" s="1" t="str">
        <f ca="1">IFERROR(__xludf.DUMMYFUNCTION("""COMPUTED_VALUE"""),"Chandar Shekhar")</f>
        <v>Chandar Shekhar</v>
      </c>
      <c r="E276" s="1" t="str">
        <f ca="1">IFERROR(__xludf.DUMMYFUNCTION("""COMPUTED_VALUE"""),"HOD")</f>
        <v>HOD</v>
      </c>
      <c r="F276" s="1" t="str">
        <f ca="1">IFERROR(__xludf.DUMMYFUNCTION("""COMPUTED_VALUE"""),"behranga@zohomail.in")</f>
        <v>behranga@zohomail.in</v>
      </c>
      <c r="G276" s="1">
        <f ca="1">IFERROR(__xludf.DUMMYFUNCTION("""COMPUTED_VALUE"""),9501107354)</f>
        <v>9501107354</v>
      </c>
    </row>
    <row r="277" spans="1:7" x14ac:dyDescent="0.3">
      <c r="A277" s="1" t="str">
        <f ca="1">IFERROR(__xludf.DUMMYFUNCTION("""COMPUTED_VALUE"""),"Governement Polytechnic College, Talwara")</f>
        <v>Governement Polytechnic College, Talwara</v>
      </c>
      <c r="B277" s="1" t="str">
        <f ca="1">IFERROR(__xludf.DUMMYFUNCTION("""COMPUTED_VALUE"""),"Hoshiarpur")</f>
        <v>Hoshiarpur</v>
      </c>
      <c r="C277" s="1" t="str">
        <f ca="1">IFERROR(__xludf.DUMMYFUNCTION("""COMPUTED_VALUE"""),"Civil Engineering")</f>
        <v>Civil Engineering</v>
      </c>
      <c r="D277" s="1" t="str">
        <f ca="1">IFERROR(__xludf.DUMMYFUNCTION("""COMPUTED_VALUE"""),"Gurjeet Kumar")</f>
        <v>Gurjeet Kumar</v>
      </c>
      <c r="E277" s="1" t="str">
        <f ca="1">IFERROR(__xludf.DUMMYFUNCTION("""COMPUTED_VALUE"""),"Lecturer")</f>
        <v>Lecturer</v>
      </c>
      <c r="F277" s="1" t="str">
        <f ca="1">IFERROR(__xludf.DUMMYFUNCTION("""COMPUTED_VALUE"""),"paras.ptk2@gmail.com")</f>
        <v>paras.ptk2@gmail.com</v>
      </c>
      <c r="G277" s="1">
        <f ca="1">IFERROR(__xludf.DUMMYFUNCTION("""COMPUTED_VALUE"""),8054776027)</f>
        <v>8054776027</v>
      </c>
    </row>
    <row r="278" spans="1:7" x14ac:dyDescent="0.3">
      <c r="A278" s="1" t="str">
        <f ca="1">IFERROR(__xludf.DUMMYFUNCTION("""COMPUTED_VALUE"""),"Governement Polytechnic College, Talwara")</f>
        <v>Governement Polytechnic College, Talwara</v>
      </c>
      <c r="B278" s="1" t="str">
        <f ca="1">IFERROR(__xludf.DUMMYFUNCTION("""COMPUTED_VALUE"""),"Hoshiarpur")</f>
        <v>Hoshiarpur</v>
      </c>
      <c r="C278" s="1" t="str">
        <f ca="1">IFERROR(__xludf.DUMMYFUNCTION("""COMPUTED_VALUE"""),"Electrical Engineering")</f>
        <v>Electrical Engineering</v>
      </c>
      <c r="D278" s="1" t="str">
        <f ca="1">IFERROR(__xludf.DUMMYFUNCTION("""COMPUTED_VALUE"""),"Harminder Singh")</f>
        <v>Harminder Singh</v>
      </c>
      <c r="E278" s="1" t="str">
        <f ca="1">IFERROR(__xludf.DUMMYFUNCTION("""COMPUTED_VALUE"""),"Sr. Lecturer")</f>
        <v>Sr. Lecturer</v>
      </c>
      <c r="F278" s="1"/>
      <c r="G278" s="1"/>
    </row>
    <row r="279" spans="1:7" x14ac:dyDescent="0.3">
      <c r="A279" s="1" t="str">
        <f ca="1">IFERROR(__xludf.DUMMYFUNCTION("""COMPUTED_VALUE"""),"Governement Polytechnic College, Talwara")</f>
        <v>Governement Polytechnic College, Talwara</v>
      </c>
      <c r="B279" s="1" t="str">
        <f ca="1">IFERROR(__xludf.DUMMYFUNCTION("""COMPUTED_VALUE"""),"Hoshiarpur")</f>
        <v>Hoshiarpur</v>
      </c>
      <c r="C279" s="1" t="str">
        <f ca="1">IFERROR(__xludf.DUMMYFUNCTION("""COMPUTED_VALUE"""),"Electronics and Communications Engineering")</f>
        <v>Electronics and Communications Engineering</v>
      </c>
      <c r="D279" s="1" t="str">
        <f ca="1">IFERROR(__xludf.DUMMYFUNCTION("""COMPUTED_VALUE"""),"Harsukhpreet Singh")</f>
        <v>Harsukhpreet Singh</v>
      </c>
      <c r="E279" s="1" t="str">
        <f ca="1">IFERROR(__xludf.DUMMYFUNCTION("""COMPUTED_VALUE"""),"Lecturer")</f>
        <v>Lecturer</v>
      </c>
      <c r="F279" s="1" t="str">
        <f ca="1">IFERROR(__xludf.DUMMYFUNCTION("""COMPUTED_VALUE"""),"harsukhpreet@gmail.com")</f>
        <v>harsukhpreet@gmail.com</v>
      </c>
      <c r="G279" s="1">
        <f ca="1">IFERROR(__xludf.DUMMYFUNCTION("""COMPUTED_VALUE"""),7696889004)</f>
        <v>7696889004</v>
      </c>
    </row>
    <row r="280" spans="1:7" x14ac:dyDescent="0.3">
      <c r="A280" s="1" t="str">
        <f ca="1">IFERROR(__xludf.DUMMYFUNCTION("""COMPUTED_VALUE"""),"Governement Polytechnic College, Talwara")</f>
        <v>Governement Polytechnic College, Talwara</v>
      </c>
      <c r="B280" s="1" t="str">
        <f ca="1">IFERROR(__xludf.DUMMYFUNCTION("""COMPUTED_VALUE"""),"Hoshiarpur")</f>
        <v>Hoshiarpur</v>
      </c>
      <c r="C280" s="1" t="str">
        <f ca="1">IFERROR(__xludf.DUMMYFUNCTION("""COMPUTED_VALUE"""),"Mechanical Engineering")</f>
        <v>Mechanical Engineering</v>
      </c>
      <c r="D280" s="1" t="str">
        <f ca="1">IFERROR(__xludf.DUMMYFUNCTION("""COMPUTED_VALUE"""),"Hitesh Bergal")</f>
        <v>Hitesh Bergal</v>
      </c>
      <c r="E280" s="1" t="str">
        <f ca="1">IFERROR(__xludf.DUMMYFUNCTION("""COMPUTED_VALUE"""),"Sr. Lecturer")</f>
        <v>Sr. Lecturer</v>
      </c>
      <c r="F280" s="1" t="str">
        <f ca="1">IFERROR(__xludf.DUMMYFUNCTION("""COMPUTED_VALUE"""),"gpctalwara.me@gmail.com")</f>
        <v>gpctalwara.me@gmail.com</v>
      </c>
      <c r="G280" s="1">
        <f ca="1">IFERROR(__xludf.DUMMYFUNCTION("""COMPUTED_VALUE"""),9417433471)</f>
        <v>9417433471</v>
      </c>
    </row>
    <row r="281" spans="1:7" x14ac:dyDescent="0.3">
      <c r="A281" s="1" t="str">
        <f ca="1">IFERROR(__xludf.DUMMYFUNCTION("""COMPUTED_VALUE"""),"Governement Polytechnic College, Talwara")</f>
        <v>Governement Polytechnic College, Talwara</v>
      </c>
      <c r="B281" s="1" t="str">
        <f ca="1">IFERROR(__xludf.DUMMYFUNCTION("""COMPUTED_VALUE"""),"Hoshiarpur")</f>
        <v>Hoshiarpur</v>
      </c>
      <c r="C281" s="1" t="str">
        <f ca="1">IFERROR(__xludf.DUMMYFUNCTION("""COMPUTED_VALUE"""),"Computer Science and Engineering")</f>
        <v>Computer Science and Engineering</v>
      </c>
      <c r="D281" s="1" t="str">
        <f ca="1">IFERROR(__xludf.DUMMYFUNCTION("""COMPUTED_VALUE"""),"Ketan Khullar")</f>
        <v>Ketan Khullar</v>
      </c>
      <c r="E281" s="1" t="str">
        <f ca="1">IFERROR(__xludf.DUMMYFUNCTION("""COMPUTED_VALUE"""),"Lecturer")</f>
        <v>Lecturer</v>
      </c>
      <c r="F281" s="1" t="str">
        <f ca="1">IFERROR(__xludf.DUMMYFUNCTION("""COMPUTED_VALUE"""),"kketan62@gmail.com")</f>
        <v>kketan62@gmail.com</v>
      </c>
      <c r="G281" s="1">
        <f ca="1">IFERROR(__xludf.DUMMYFUNCTION("""COMPUTED_VALUE"""),9779920730)</f>
        <v>9779920730</v>
      </c>
    </row>
    <row r="282" spans="1:7" x14ac:dyDescent="0.3">
      <c r="A282" s="1" t="str">
        <f ca="1">IFERROR(__xludf.DUMMYFUNCTION("""COMPUTED_VALUE"""),"Governement Polytechnic College, Talwara")</f>
        <v>Governement Polytechnic College, Talwara</v>
      </c>
      <c r="B282" s="1" t="str">
        <f ca="1">IFERROR(__xludf.DUMMYFUNCTION("""COMPUTED_VALUE"""),"Hoshiarpur")</f>
        <v>Hoshiarpur</v>
      </c>
      <c r="C282" s="1" t="str">
        <f ca="1">IFERROR(__xludf.DUMMYFUNCTION("""COMPUTED_VALUE"""),"Applied Science")</f>
        <v>Applied Science</v>
      </c>
      <c r="D282" s="1" t="str">
        <f ca="1">IFERROR(__xludf.DUMMYFUNCTION("""COMPUTED_VALUE"""),"Manjit Singh")</f>
        <v>Manjit Singh</v>
      </c>
      <c r="E282" s="1" t="str">
        <f ca="1">IFERROR(__xludf.DUMMYFUNCTION("""COMPUTED_VALUE"""),"Lecturer")</f>
        <v>Lecturer</v>
      </c>
      <c r="F282" s="1" t="str">
        <f ca="1">IFERROR(__xludf.DUMMYFUNCTION("""COMPUTED_VALUE"""),"mineworkhouse@gmail.com")</f>
        <v>mineworkhouse@gmail.com</v>
      </c>
      <c r="G282" s="1">
        <f ca="1">IFERROR(__xludf.DUMMYFUNCTION("""COMPUTED_VALUE"""),7696785332)</f>
        <v>7696785332</v>
      </c>
    </row>
    <row r="283" spans="1:7" x14ac:dyDescent="0.3">
      <c r="A283" s="1" t="str">
        <f ca="1">IFERROR(__xludf.DUMMYFUNCTION("""COMPUTED_VALUE"""),"Governement Polytechnic College, Talwara")</f>
        <v>Governement Polytechnic College, Talwara</v>
      </c>
      <c r="B283" s="1" t="str">
        <f ca="1">IFERROR(__xludf.DUMMYFUNCTION("""COMPUTED_VALUE"""),"Hoshiarpur")</f>
        <v>Hoshiarpur</v>
      </c>
      <c r="C283" s="1" t="str">
        <f ca="1">IFERROR(__xludf.DUMMYFUNCTION("""COMPUTED_VALUE"""),"Electronics and Communications Engineering")</f>
        <v>Electronics and Communications Engineering</v>
      </c>
      <c r="D283" s="1" t="str">
        <f ca="1">IFERROR(__xludf.DUMMYFUNCTION("""COMPUTED_VALUE"""),"Pardeep Kaur")</f>
        <v>Pardeep Kaur</v>
      </c>
      <c r="E283" s="1" t="str">
        <f ca="1">IFERROR(__xludf.DUMMYFUNCTION("""COMPUTED_VALUE"""),"Lecturer")</f>
        <v>Lecturer</v>
      </c>
      <c r="F283" s="1" t="str">
        <f ca="1">IFERROR(__xludf.DUMMYFUNCTION("""COMPUTED_VALUE"""),"pardeepgpcg@gmail.com")</f>
        <v>pardeepgpcg@gmail.com</v>
      </c>
      <c r="G283" s="1">
        <f ca="1">IFERROR(__xludf.DUMMYFUNCTION("""COMPUTED_VALUE"""),6284141877)</f>
        <v>6284141877</v>
      </c>
    </row>
    <row r="284" spans="1:7" x14ac:dyDescent="0.3">
      <c r="A284" s="1" t="str">
        <f ca="1">IFERROR(__xludf.DUMMYFUNCTION("""COMPUTED_VALUE"""),"Governement Polytechnic College, Talwara")</f>
        <v>Governement Polytechnic College, Talwara</v>
      </c>
      <c r="B284" s="1" t="str">
        <f ca="1">IFERROR(__xludf.DUMMYFUNCTION("""COMPUTED_VALUE"""),"Hoshiarpur")</f>
        <v>Hoshiarpur</v>
      </c>
      <c r="C284" s="1" t="str">
        <f ca="1">IFERROR(__xludf.DUMMYFUNCTION("""COMPUTED_VALUE"""),"Electrical Engineering")</f>
        <v>Electrical Engineering</v>
      </c>
      <c r="D284" s="1" t="str">
        <f ca="1">IFERROR(__xludf.DUMMYFUNCTION("""COMPUTED_VALUE"""),"Rahul Kumar")</f>
        <v>Rahul Kumar</v>
      </c>
      <c r="E284" s="1" t="str">
        <f ca="1">IFERROR(__xludf.DUMMYFUNCTION("""COMPUTED_VALUE"""),"Lecturer")</f>
        <v>Lecturer</v>
      </c>
      <c r="F284" s="1" t="str">
        <f ca="1">IFERROR(__xludf.DUMMYFUNCTION("""COMPUTED_VALUE"""),"me.rahul8@gmail.com")</f>
        <v>me.rahul8@gmail.com</v>
      </c>
      <c r="G284" s="1">
        <f ca="1">IFERROR(__xludf.DUMMYFUNCTION("""COMPUTED_VALUE"""),9463777331)</f>
        <v>9463777331</v>
      </c>
    </row>
    <row r="285" spans="1:7" x14ac:dyDescent="0.3">
      <c r="A285" s="1" t="str">
        <f ca="1">IFERROR(__xludf.DUMMYFUNCTION("""COMPUTED_VALUE"""),"Governement Polytechnic College, Talwara")</f>
        <v>Governement Polytechnic College, Talwara</v>
      </c>
      <c r="B285" s="1" t="str">
        <f ca="1">IFERROR(__xludf.DUMMYFUNCTION("""COMPUTED_VALUE"""),"Hoshiarpur")</f>
        <v>Hoshiarpur</v>
      </c>
      <c r="C285" s="1" t="str">
        <f ca="1">IFERROR(__xludf.DUMMYFUNCTION("""COMPUTED_VALUE"""),"Civil Engineering")</f>
        <v>Civil Engineering</v>
      </c>
      <c r="D285" s="1" t="str">
        <f ca="1">IFERROR(__xludf.DUMMYFUNCTION("""COMPUTED_VALUE"""),"Rahul Sonjit")</f>
        <v>Rahul Sonjit</v>
      </c>
      <c r="E285" s="1" t="str">
        <f ca="1">IFERROR(__xludf.DUMMYFUNCTION("""COMPUTED_VALUE"""),"Lecturer")</f>
        <v>Lecturer</v>
      </c>
      <c r="F285" s="1" t="str">
        <f ca="1">IFERROR(__xludf.DUMMYFUNCTION("""COMPUTED_VALUE"""),"sonjitrahul786@gmail.com")</f>
        <v>sonjitrahul786@gmail.com</v>
      </c>
      <c r="G285" s="1">
        <f ca="1">IFERROR(__xludf.DUMMYFUNCTION("""COMPUTED_VALUE"""),9878729221)</f>
        <v>9878729221</v>
      </c>
    </row>
    <row r="286" spans="1:7" x14ac:dyDescent="0.3">
      <c r="A286" s="1" t="str">
        <f ca="1">IFERROR(__xludf.DUMMYFUNCTION("""COMPUTED_VALUE"""),"Governement Polytechnic College, Talwara")</f>
        <v>Governement Polytechnic College, Talwara</v>
      </c>
      <c r="B286" s="1" t="str">
        <f ca="1">IFERROR(__xludf.DUMMYFUNCTION("""COMPUTED_VALUE"""),"Hoshiarpur")</f>
        <v>Hoshiarpur</v>
      </c>
      <c r="C286" s="1" t="str">
        <f ca="1">IFERROR(__xludf.DUMMYFUNCTION("""COMPUTED_VALUE"""),"Computer Science and Engineering")</f>
        <v>Computer Science and Engineering</v>
      </c>
      <c r="D286" s="1" t="str">
        <f ca="1">IFERROR(__xludf.DUMMYFUNCTION("""COMPUTED_VALUE"""),"Rajan Sahota")</f>
        <v>Rajan Sahota</v>
      </c>
      <c r="E286" s="1" t="str">
        <f ca="1">IFERROR(__xludf.DUMMYFUNCTION("""COMPUTED_VALUE"""),"Lecturer")</f>
        <v>Lecturer</v>
      </c>
      <c r="F286" s="1" t="str">
        <f ca="1">IFERROR(__xludf.DUMMYFUNCTION("""COMPUTED_VALUE"""),"rajan.sahota@gmail.com")</f>
        <v>rajan.sahota@gmail.com</v>
      </c>
      <c r="G286" s="1">
        <f ca="1">IFERROR(__xludf.DUMMYFUNCTION("""COMPUTED_VALUE"""),9888169418)</f>
        <v>9888169418</v>
      </c>
    </row>
    <row r="287" spans="1:7" x14ac:dyDescent="0.3">
      <c r="A287" s="1" t="str">
        <f ca="1">IFERROR(__xludf.DUMMYFUNCTION("""COMPUTED_VALUE"""),"Governement Polytechnic College, Talwara")</f>
        <v>Governement Polytechnic College, Talwara</v>
      </c>
      <c r="B287" s="1" t="str">
        <f ca="1">IFERROR(__xludf.DUMMYFUNCTION("""COMPUTED_VALUE"""),"Hoshiarpur")</f>
        <v>Hoshiarpur</v>
      </c>
      <c r="C287" s="1" t="str">
        <f ca="1">IFERROR(__xludf.DUMMYFUNCTION("""COMPUTED_VALUE"""),"Electrical Engineering")</f>
        <v>Electrical Engineering</v>
      </c>
      <c r="D287" s="1" t="str">
        <f ca="1">IFERROR(__xludf.DUMMYFUNCTION("""COMPUTED_VALUE"""),"Sharandeep Singh")</f>
        <v>Sharandeep Singh</v>
      </c>
      <c r="E287" s="1" t="str">
        <f ca="1">IFERROR(__xludf.DUMMYFUNCTION("""COMPUTED_VALUE"""),"Lecturer")</f>
        <v>Lecturer</v>
      </c>
      <c r="F287" s="1" t="str">
        <f ca="1">IFERROR(__xludf.DUMMYFUNCTION("""COMPUTED_VALUE"""),"sharan14419@gmail.com")</f>
        <v>sharan14419@gmail.com</v>
      </c>
      <c r="G287" s="1">
        <f ca="1">IFERROR(__xludf.DUMMYFUNCTION("""COMPUTED_VALUE"""),8054678211)</f>
        <v>8054678211</v>
      </c>
    </row>
    <row r="288" spans="1:7" x14ac:dyDescent="0.3">
      <c r="A288" s="1" t="str">
        <f ca="1">IFERROR(__xludf.DUMMYFUNCTION("""COMPUTED_VALUE"""),"Governement Polytechnic College, Talwara")</f>
        <v>Governement Polytechnic College, Talwara</v>
      </c>
      <c r="B288" s="1" t="str">
        <f ca="1">IFERROR(__xludf.DUMMYFUNCTION("""COMPUTED_VALUE"""),"Hoshiarpur")</f>
        <v>Hoshiarpur</v>
      </c>
      <c r="C288" s="1" t="str">
        <f ca="1">IFERROR(__xludf.DUMMYFUNCTION("""COMPUTED_VALUE"""),"Electrical Engineering")</f>
        <v>Electrical Engineering</v>
      </c>
      <c r="D288" s="1" t="str">
        <f ca="1">IFERROR(__xludf.DUMMYFUNCTION("""COMPUTED_VALUE"""),"Sukeeratpal Singh Syan")</f>
        <v>Sukeeratpal Singh Syan</v>
      </c>
      <c r="E288" s="1" t="str">
        <f ca="1">IFERROR(__xludf.DUMMYFUNCTION("""COMPUTED_VALUE"""),"Lecturer")</f>
        <v>Lecturer</v>
      </c>
      <c r="F288" s="1" t="str">
        <f ca="1">IFERROR(__xludf.DUMMYFUNCTION("""COMPUTED_VALUE"""),"sukeerats@gmail.com")</f>
        <v>sukeerats@gmail.com</v>
      </c>
      <c r="G288" s="1">
        <f ca="1">IFERROR(__xludf.DUMMYFUNCTION("""COMPUTED_VALUE"""),9779972700)</f>
        <v>9779972700</v>
      </c>
    </row>
    <row r="289" spans="1:7" x14ac:dyDescent="0.3">
      <c r="A289" s="1" t="str">
        <f ca="1">IFERROR(__xludf.DUMMYFUNCTION("""COMPUTED_VALUE"""),"Governement Polytechnic College, Talwara")</f>
        <v>Governement Polytechnic College, Talwara</v>
      </c>
      <c r="B289" s="1" t="str">
        <f ca="1">IFERROR(__xludf.DUMMYFUNCTION("""COMPUTED_VALUE"""),"Hoshiarpur")</f>
        <v>Hoshiarpur</v>
      </c>
      <c r="C289" s="1" t="str">
        <f ca="1">IFERROR(__xludf.DUMMYFUNCTION("""COMPUTED_VALUE"""),"Applied Science")</f>
        <v>Applied Science</v>
      </c>
      <c r="D289" s="1" t="str">
        <f ca="1">IFERROR(__xludf.DUMMYFUNCTION("""COMPUTED_VALUE"""),"Sukhwinder Singh")</f>
        <v>Sukhwinder Singh</v>
      </c>
      <c r="E289" s="1" t="str">
        <f ca="1">IFERROR(__xludf.DUMMYFUNCTION("""COMPUTED_VALUE"""),"Lecturer")</f>
        <v>Lecturer</v>
      </c>
      <c r="F289" s="1" t="str">
        <f ca="1">IFERROR(__xludf.DUMMYFUNCTION("""COMPUTED_VALUE"""),"sukh227896@gmail.com")</f>
        <v>sukh227896@gmail.com</v>
      </c>
      <c r="G289" s="1">
        <f ca="1">IFERROR(__xludf.DUMMYFUNCTION("""COMPUTED_VALUE"""),9417246007)</f>
        <v>9417246007</v>
      </c>
    </row>
    <row r="290" spans="1:7" x14ac:dyDescent="0.3">
      <c r="A290" s="1" t="str">
        <f ca="1">IFERROR(__xludf.DUMMYFUNCTION("""COMPUTED_VALUE"""),"Governement Polytechnic College, Talwara")</f>
        <v>Governement Polytechnic College, Talwara</v>
      </c>
      <c r="B290" s="1" t="str">
        <f ca="1">IFERROR(__xludf.DUMMYFUNCTION("""COMPUTED_VALUE"""),"Hoshiarpur")</f>
        <v>Hoshiarpur</v>
      </c>
      <c r="C290" s="1" t="str">
        <f ca="1">IFERROR(__xludf.DUMMYFUNCTION("""COMPUTED_VALUE"""),"Computer Science and Engineering")</f>
        <v>Computer Science and Engineering</v>
      </c>
      <c r="D290" s="1" t="str">
        <f ca="1">IFERROR(__xludf.DUMMYFUNCTION("""COMPUTED_VALUE"""),"Sukhwinder Singh")</f>
        <v>Sukhwinder Singh</v>
      </c>
      <c r="E290" s="1" t="str">
        <f ca="1">IFERROR(__xludf.DUMMYFUNCTION("""COMPUTED_VALUE"""),"Lecturer")</f>
        <v>Lecturer</v>
      </c>
      <c r="F290" s="1" t="str">
        <f ca="1">IFERROR(__xludf.DUMMYFUNCTION("""COMPUTED_VALUE"""),"sukh1.baghoria@gmail.com")</f>
        <v>sukh1.baghoria@gmail.com</v>
      </c>
      <c r="G290" s="1">
        <f ca="1">IFERROR(__xludf.DUMMYFUNCTION("""COMPUTED_VALUE"""),9501648500)</f>
        <v>9501648500</v>
      </c>
    </row>
    <row r="291" spans="1:7" x14ac:dyDescent="0.3">
      <c r="A291" s="1" t="str">
        <f ca="1">IFERROR(__xludf.DUMMYFUNCTION("""COMPUTED_VALUE"""),"Governement Polytechnic College, Talwara")</f>
        <v>Governement Polytechnic College, Talwara</v>
      </c>
      <c r="B291" s="1" t="str">
        <f ca="1">IFERROR(__xludf.DUMMYFUNCTION("""COMPUTED_VALUE"""),"Hoshiarpur")</f>
        <v>Hoshiarpur</v>
      </c>
      <c r="C291" s="1" t="str">
        <f ca="1">IFERROR(__xludf.DUMMYFUNCTION("""COMPUTED_VALUE"""),"Applied Science")</f>
        <v>Applied Science</v>
      </c>
      <c r="D291" s="1" t="str">
        <f ca="1">IFERROR(__xludf.DUMMYFUNCTION("""COMPUTED_VALUE"""),"Teena Kathpal")</f>
        <v>Teena Kathpal</v>
      </c>
      <c r="E291" s="1" t="str">
        <f ca="1">IFERROR(__xludf.DUMMYFUNCTION("""COMPUTED_VALUE"""),"Lecturer")</f>
        <v>Lecturer</v>
      </c>
      <c r="F291" s="1" t="str">
        <f ca="1">IFERROR(__xludf.DUMMYFUNCTION("""COMPUTED_VALUE"""),"itsteena37@gmail.com")</f>
        <v>itsteena37@gmail.com</v>
      </c>
      <c r="G291" s="1">
        <f ca="1">IFERROR(__xludf.DUMMYFUNCTION("""COMPUTED_VALUE"""),9465311457)</f>
        <v>9465311457</v>
      </c>
    </row>
    <row r="292" spans="1:7" x14ac:dyDescent="0.3">
      <c r="A292" s="1" t="str">
        <f ca="1">IFERROR(__xludf.DUMMYFUNCTION("""COMPUTED_VALUE"""),"GILFT Jalandhar")</f>
        <v>GILFT Jalandhar</v>
      </c>
      <c r="B292" s="1" t="str">
        <f ca="1">IFERROR(__xludf.DUMMYFUNCTION("""COMPUTED_VALUE"""),"Jalandhar")</f>
        <v>Jalandhar</v>
      </c>
      <c r="C292" s="1" t="str">
        <f ca="1">IFERROR(__xludf.DUMMYFUNCTION("""COMPUTED_VALUE"""),"Leather Technology(Footwear)")</f>
        <v>Leather Technology(Footwear)</v>
      </c>
      <c r="D292" s="1" t="str">
        <f ca="1">IFERROR(__xludf.DUMMYFUNCTION("""COMPUTED_VALUE"""),"Ranjit Singh Dhoor")</f>
        <v>Ranjit Singh Dhoor</v>
      </c>
      <c r="E292" s="1" t="str">
        <f ca="1">IFERROR(__xludf.DUMMYFUNCTION("""COMPUTED_VALUE"""),"Programmer")</f>
        <v>Programmer</v>
      </c>
      <c r="F292" s="1" t="str">
        <f ca="1">IFERROR(__xludf.DUMMYFUNCTION("""COMPUTED_VALUE"""),"prof.ranjit@gmail.com")</f>
        <v>prof.ranjit@gmail.com</v>
      </c>
      <c r="G292" s="1">
        <f ca="1">IFERROR(__xludf.DUMMYFUNCTION("""COMPUTED_VALUE"""),9815910316)</f>
        <v>9815910316</v>
      </c>
    </row>
    <row r="293" spans="1:7" x14ac:dyDescent="0.3">
      <c r="A293" s="1" t="str">
        <f ca="1">IFERROR(__xludf.DUMMYFUNCTION("""COMPUTED_VALUE"""),"GILFT Jalandhar")</f>
        <v>GILFT Jalandhar</v>
      </c>
      <c r="B293" s="1" t="str">
        <f ca="1">IFERROR(__xludf.DUMMYFUNCTION("""COMPUTED_VALUE"""),"Jalandhar")</f>
        <v>Jalandhar</v>
      </c>
      <c r="C293" s="1" t="str">
        <f ca="1">IFERROR(__xludf.DUMMYFUNCTION("""COMPUTED_VALUE"""),"Leather Technology")</f>
        <v>Leather Technology</v>
      </c>
      <c r="D293" s="1" t="str">
        <f ca="1">IFERROR(__xludf.DUMMYFUNCTION("""COMPUTED_VALUE"""),"Rohit Dalia")</f>
        <v>Rohit Dalia</v>
      </c>
      <c r="E293" s="1" t="str">
        <f ca="1">IFERROR(__xludf.DUMMYFUNCTION("""COMPUTED_VALUE"""),"Lecturer")</f>
        <v>Lecturer</v>
      </c>
      <c r="F293" s="1" t="str">
        <f ca="1">IFERROR(__xludf.DUMMYFUNCTION("""COMPUTED_VALUE"""),"gtijal@gmail.com")</f>
        <v>gtijal@gmail.com</v>
      </c>
      <c r="G293" s="1">
        <f ca="1">IFERROR(__xludf.DUMMYFUNCTION("""COMPUTED_VALUE"""),9501722344)</f>
        <v>9501722344</v>
      </c>
    </row>
    <row r="294" spans="1:7" x14ac:dyDescent="0.3">
      <c r="A294" s="1" t="str">
        <f ca="1">IFERROR(__xludf.DUMMYFUNCTION("""COMPUTED_VALUE"""),"Governement Polytechnic College, Jalandhar")</f>
        <v>Governement Polytechnic College, Jalandhar</v>
      </c>
      <c r="B294" s="1" t="str">
        <f ca="1">IFERROR(__xludf.DUMMYFUNCTION("""COMPUTED_VALUE"""),"Jalandhar")</f>
        <v>Jalandhar</v>
      </c>
      <c r="C294" s="1" t="str">
        <f ca="1">IFERROR(__xludf.DUMMYFUNCTION("""COMPUTED_VALUE"""),"Architecture Assistanceship")</f>
        <v>Architecture Assistanceship</v>
      </c>
      <c r="D294" s="1" t="str">
        <f ca="1">IFERROR(__xludf.DUMMYFUNCTION("""COMPUTED_VALUE"""),"Miss. Neelam Thakur")</f>
        <v>Miss. Neelam Thakur</v>
      </c>
      <c r="E294" s="1" t="str">
        <f ca="1">IFERROR(__xludf.DUMMYFUNCTION("""COMPUTED_VALUE"""),"Lecturer")</f>
        <v>Lecturer</v>
      </c>
      <c r="F294" s="1" t="str">
        <f ca="1">IFERROR(__xludf.DUMMYFUNCTION("""COMPUTED_VALUE"""),"neelamthakurcca@gmail.com")</f>
        <v>neelamthakurcca@gmail.com</v>
      </c>
      <c r="G294" s="1">
        <f ca="1">IFERROR(__xludf.DUMMYFUNCTION("""COMPUTED_VALUE"""),8288814343)</f>
        <v>8288814343</v>
      </c>
    </row>
    <row r="295" spans="1:7" x14ac:dyDescent="0.3">
      <c r="A295" s="1" t="str">
        <f ca="1">IFERROR(__xludf.DUMMYFUNCTION("""COMPUTED_VALUE"""),"Governement Polytechnic College, Jalandhar")</f>
        <v>Governement Polytechnic College, Jalandhar</v>
      </c>
      <c r="B295" s="1" t="str">
        <f ca="1">IFERROR(__xludf.DUMMYFUNCTION("""COMPUTED_VALUE"""),"Jalandhar")</f>
        <v>Jalandhar</v>
      </c>
      <c r="C295" s="1" t="str">
        <f ca="1">IFERROR(__xludf.DUMMYFUNCTION("""COMPUTED_VALUE"""),"Electronics and Communications Engineering")</f>
        <v>Electronics and Communications Engineering</v>
      </c>
      <c r="D295" s="1" t="str">
        <f ca="1">IFERROR(__xludf.DUMMYFUNCTION("""COMPUTED_VALUE"""),"Miss. Shivani Syal")</f>
        <v>Miss. Shivani Syal</v>
      </c>
      <c r="E295" s="1" t="str">
        <f ca="1">IFERROR(__xludf.DUMMYFUNCTION("""COMPUTED_VALUE"""),"Lecturer")</f>
        <v>Lecturer</v>
      </c>
      <c r="F295" s="1" t="str">
        <f ca="1">IFERROR(__xludf.DUMMYFUNCTION("""COMPUTED_VALUE"""),"shivani.gpcg@gmail.com")</f>
        <v>shivani.gpcg@gmail.com</v>
      </c>
      <c r="G295" s="1">
        <f ca="1">IFERROR(__xludf.DUMMYFUNCTION("""COMPUTED_VALUE"""),9560886749)</f>
        <v>9560886749</v>
      </c>
    </row>
    <row r="296" spans="1:7" x14ac:dyDescent="0.3">
      <c r="A296" s="1" t="str">
        <f ca="1">IFERROR(__xludf.DUMMYFUNCTION("""COMPUTED_VALUE"""),"Governement Polytechnic College, Jalandhar")</f>
        <v>Governement Polytechnic College, Jalandhar</v>
      </c>
      <c r="B296" s="1" t="str">
        <f ca="1">IFERROR(__xludf.DUMMYFUNCTION("""COMPUTED_VALUE"""),"Jalandhar")</f>
        <v>Jalandhar</v>
      </c>
      <c r="C296" s="1" t="str">
        <f ca="1">IFERROR(__xludf.DUMMYFUNCTION("""COMPUTED_VALUE"""),"Information Technology")</f>
        <v>Information Technology</v>
      </c>
      <c r="D296" s="1" t="str">
        <f ca="1">IFERROR(__xludf.DUMMYFUNCTION("""COMPUTED_VALUE"""),"Sh. Akshay Jilowa")</f>
        <v>Sh. Akshay Jilowa</v>
      </c>
      <c r="E296" s="1" t="str">
        <f ca="1">IFERROR(__xludf.DUMMYFUNCTION("""COMPUTED_VALUE"""),"HOD")</f>
        <v>HOD</v>
      </c>
      <c r="F296" s="1" t="str">
        <f ca="1">IFERROR(__xludf.DUMMYFUNCTION("""COMPUTED_VALUE"""),"jilowaskshay@gmail.com")</f>
        <v>jilowaskshay@gmail.com</v>
      </c>
      <c r="G296" s="1">
        <f ca="1">IFERROR(__xludf.DUMMYFUNCTION("""COMPUTED_VALUE"""),9501878000)</f>
        <v>9501878000</v>
      </c>
    </row>
    <row r="297" spans="1:7" x14ac:dyDescent="0.3">
      <c r="A297" s="1" t="str">
        <f ca="1">IFERROR(__xludf.DUMMYFUNCTION("""COMPUTED_VALUE"""),"Governement Polytechnic College, Jalandhar")</f>
        <v>Governement Polytechnic College, Jalandhar</v>
      </c>
      <c r="B297" s="1" t="str">
        <f ca="1">IFERROR(__xludf.DUMMYFUNCTION("""COMPUTED_VALUE"""),"Jalandhar")</f>
        <v>Jalandhar</v>
      </c>
      <c r="C297" s="1" t="str">
        <f ca="1">IFERROR(__xludf.DUMMYFUNCTION("""COMPUTED_VALUE"""),"Pharmacy")</f>
        <v>Pharmacy</v>
      </c>
      <c r="D297" s="1" t="str">
        <f ca="1">IFERROR(__xludf.DUMMYFUNCTION("""COMPUTED_VALUE"""),"Sh. Chateshwar Kumar")</f>
        <v>Sh. Chateshwar Kumar</v>
      </c>
      <c r="E297" s="1" t="str">
        <f ca="1">IFERROR(__xludf.DUMMYFUNCTION("""COMPUTED_VALUE"""),"Lecturer")</f>
        <v>Lecturer</v>
      </c>
      <c r="F297" s="1" t="str">
        <f ca="1">IFERROR(__xludf.DUMMYFUNCTION("""COMPUTED_VALUE"""),"chateshwargpc@gmail.com")</f>
        <v>chateshwargpc@gmail.com</v>
      </c>
      <c r="G297" s="1">
        <f ca="1">IFERROR(__xludf.DUMMYFUNCTION("""COMPUTED_VALUE"""),9988799070)</f>
        <v>9988799070</v>
      </c>
    </row>
    <row r="298" spans="1:7" x14ac:dyDescent="0.3">
      <c r="A298" s="1" t="str">
        <f ca="1">IFERROR(__xludf.DUMMYFUNCTION("""COMPUTED_VALUE"""),"Governement Polytechnic College, Jalandhar")</f>
        <v>Governement Polytechnic College, Jalandhar</v>
      </c>
      <c r="B298" s="1" t="str">
        <f ca="1">IFERROR(__xludf.DUMMYFUNCTION("""COMPUTED_VALUE"""),"Jalandhar")</f>
        <v>Jalandhar</v>
      </c>
      <c r="C298" s="1" t="str">
        <f ca="1">IFERROR(__xludf.DUMMYFUNCTION("""COMPUTED_VALUE"""),"Architecture Assistanceship")</f>
        <v>Architecture Assistanceship</v>
      </c>
      <c r="D298" s="1" t="str">
        <f ca="1">IFERROR(__xludf.DUMMYFUNCTION("""COMPUTED_VALUE"""),"Sh. Dinesh Chander Bhagat")</f>
        <v>Sh. Dinesh Chander Bhagat</v>
      </c>
      <c r="E298" s="1" t="str">
        <f ca="1">IFERROR(__xludf.DUMMYFUNCTION("""COMPUTED_VALUE"""),"HOD")</f>
        <v>HOD</v>
      </c>
      <c r="F298" s="1" t="str">
        <f ca="1">IFERROR(__xludf.DUMMYFUNCTION("""COMPUTED_VALUE"""),"dinesh.bhagat101@gmail.com")</f>
        <v>dinesh.bhagat101@gmail.com</v>
      </c>
      <c r="G298" s="1">
        <f ca="1">IFERROR(__xludf.DUMMYFUNCTION("""COMPUTED_VALUE"""),9815985775)</f>
        <v>9815985775</v>
      </c>
    </row>
    <row r="299" spans="1:7" x14ac:dyDescent="0.3">
      <c r="A299" s="1" t="str">
        <f ca="1">IFERROR(__xludf.DUMMYFUNCTION("""COMPUTED_VALUE"""),"Governement Polytechnic College, Jalandhar")</f>
        <v>Governement Polytechnic College, Jalandhar</v>
      </c>
      <c r="B299" s="1" t="str">
        <f ca="1">IFERROR(__xludf.DUMMYFUNCTION("""COMPUTED_VALUE"""),"Jalandhar")</f>
        <v>Jalandhar</v>
      </c>
      <c r="C299" s="1" t="str">
        <f ca="1">IFERROR(__xludf.DUMMYFUNCTION("""COMPUTED_VALUE"""),"Pharmacy")</f>
        <v>Pharmacy</v>
      </c>
      <c r="D299" s="1" t="str">
        <f ca="1">IFERROR(__xludf.DUMMYFUNCTION("""COMPUTED_VALUE"""),"Sh. Gagandip Singh")</f>
        <v>Sh. Gagandip Singh</v>
      </c>
      <c r="E299" s="1" t="str">
        <f ca="1">IFERROR(__xludf.DUMMYFUNCTION("""COMPUTED_VALUE"""),"Lecturer")</f>
        <v>Lecturer</v>
      </c>
      <c r="F299" s="1" t="str">
        <f ca="1">IFERROR(__xludf.DUMMYFUNCTION("""COMPUTED_VALUE"""),"gagandip14@gmail.com")</f>
        <v>gagandip14@gmail.com</v>
      </c>
      <c r="G299" s="1">
        <f ca="1">IFERROR(__xludf.DUMMYFUNCTION("""COMPUTED_VALUE"""),9872641831)</f>
        <v>9872641831</v>
      </c>
    </row>
    <row r="300" spans="1:7" x14ac:dyDescent="0.3">
      <c r="A300" s="1" t="str">
        <f ca="1">IFERROR(__xludf.DUMMYFUNCTION("""COMPUTED_VALUE"""),"Governement Polytechnic College, Jalandhar")</f>
        <v>Governement Polytechnic College, Jalandhar</v>
      </c>
      <c r="B300" s="1" t="str">
        <f ca="1">IFERROR(__xludf.DUMMYFUNCTION("""COMPUTED_VALUE"""),"Jalandhar")</f>
        <v>Jalandhar</v>
      </c>
      <c r="C300" s="1" t="str">
        <f ca="1">IFERROR(__xludf.DUMMYFUNCTION("""COMPUTED_VALUE"""),"Library &amp; Information Science")</f>
        <v>Library &amp; Information Science</v>
      </c>
      <c r="D300" s="1" t="str">
        <f ca="1">IFERROR(__xludf.DUMMYFUNCTION("""COMPUTED_VALUE"""),"Sh. Gurjinder Singh")</f>
        <v>Sh. Gurjinder Singh</v>
      </c>
      <c r="E300" s="1" t="str">
        <f ca="1">IFERROR(__xludf.DUMMYFUNCTION("""COMPUTED_VALUE"""),"Lecturer")</f>
        <v>Lecturer</v>
      </c>
      <c r="F300" s="1" t="str">
        <f ca="1">IFERROR(__xludf.DUMMYFUNCTION("""COMPUTED_VALUE"""),"gurjinder020@gmail.com")</f>
        <v>gurjinder020@gmail.com</v>
      </c>
      <c r="G300" s="1">
        <f ca="1">IFERROR(__xludf.DUMMYFUNCTION("""COMPUTED_VALUE"""),9855101905)</f>
        <v>9855101905</v>
      </c>
    </row>
    <row r="301" spans="1:7" x14ac:dyDescent="0.3">
      <c r="A301" s="1" t="str">
        <f ca="1">IFERROR(__xludf.DUMMYFUNCTION("""COMPUTED_VALUE"""),"Governement Polytechnic College, Jalandhar")</f>
        <v>Governement Polytechnic College, Jalandhar</v>
      </c>
      <c r="B301" s="1" t="str">
        <f ca="1">IFERROR(__xludf.DUMMYFUNCTION("""COMPUTED_VALUE"""),"Jalandhar")</f>
        <v>Jalandhar</v>
      </c>
      <c r="C301" s="1" t="str">
        <f ca="1">IFERROR(__xludf.DUMMYFUNCTION("""COMPUTED_VALUE"""),"Computer Science and Engineering")</f>
        <v>Computer Science and Engineering</v>
      </c>
      <c r="D301" s="1" t="str">
        <f ca="1">IFERROR(__xludf.DUMMYFUNCTION("""COMPUTED_VALUE"""),"Sh. Gurvind Kumar")</f>
        <v>Sh. Gurvind Kumar</v>
      </c>
      <c r="E301" s="1" t="str">
        <f ca="1">IFERROR(__xludf.DUMMYFUNCTION("""COMPUTED_VALUE"""),"System Manager")</f>
        <v>System Manager</v>
      </c>
      <c r="F301" s="1" t="str">
        <f ca="1">IFERROR(__xludf.DUMMYFUNCTION("""COMPUTED_VALUE"""),"chahalgurvind1972@gmail.com")</f>
        <v>chahalgurvind1972@gmail.com</v>
      </c>
      <c r="G301" s="1">
        <f ca="1">IFERROR(__xludf.DUMMYFUNCTION("""COMPUTED_VALUE"""),6280931560)</f>
        <v>6280931560</v>
      </c>
    </row>
    <row r="302" spans="1:7" x14ac:dyDescent="0.3">
      <c r="A302" s="1" t="str">
        <f ca="1">IFERROR(__xludf.DUMMYFUNCTION("""COMPUTED_VALUE"""),"Governement Polytechnic College, Jalandhar")</f>
        <v>Governement Polytechnic College, Jalandhar</v>
      </c>
      <c r="B302" s="1" t="str">
        <f ca="1">IFERROR(__xludf.DUMMYFUNCTION("""COMPUTED_VALUE"""),"Jalandhar")</f>
        <v>Jalandhar</v>
      </c>
      <c r="C302" s="1" t="str">
        <f ca="1">IFERROR(__xludf.DUMMYFUNCTION("""COMPUTED_VALUE"""),"Pharmacy")</f>
        <v>Pharmacy</v>
      </c>
      <c r="D302" s="1" t="str">
        <f ca="1">IFERROR(__xludf.DUMMYFUNCTION("""COMPUTED_VALUE"""),"Sh. Harmanpreet Singh")</f>
        <v>Sh. Harmanpreet Singh</v>
      </c>
      <c r="E302" s="1" t="str">
        <f ca="1">IFERROR(__xludf.DUMMYFUNCTION("""COMPUTED_VALUE"""),"Lecturer")</f>
        <v>Lecturer</v>
      </c>
      <c r="F302" s="1" t="str">
        <f ca="1">IFERROR(__xludf.DUMMYFUNCTION("""COMPUTED_VALUE"""),"harmanpreetmadaan@gmail.com")</f>
        <v>harmanpreetmadaan@gmail.com</v>
      </c>
      <c r="G302" s="1">
        <f ca="1">IFERROR(__xludf.DUMMYFUNCTION("""COMPUTED_VALUE"""),9815310569)</f>
        <v>9815310569</v>
      </c>
    </row>
    <row r="303" spans="1:7" x14ac:dyDescent="0.3">
      <c r="A303" s="1" t="str">
        <f ca="1">IFERROR(__xludf.DUMMYFUNCTION("""COMPUTED_VALUE"""),"Governement Polytechnic College, Jalandhar")</f>
        <v>Governement Polytechnic College, Jalandhar</v>
      </c>
      <c r="B303" s="1" t="str">
        <f ca="1">IFERROR(__xludf.DUMMYFUNCTION("""COMPUTED_VALUE"""),"Jalandhar")</f>
        <v>Jalandhar</v>
      </c>
      <c r="C303" s="1" t="str">
        <f ca="1">IFERROR(__xludf.DUMMYFUNCTION("""COMPUTED_VALUE"""),"Computer Science and Engineering")</f>
        <v>Computer Science and Engineering</v>
      </c>
      <c r="D303" s="1" t="str">
        <f ca="1">IFERROR(__xludf.DUMMYFUNCTION("""COMPUTED_VALUE"""),"Sh. Harsimrat Singh")</f>
        <v>Sh. Harsimrat Singh</v>
      </c>
      <c r="E303" s="1" t="str">
        <f ca="1">IFERROR(__xludf.DUMMYFUNCTION("""COMPUTED_VALUE"""),"Lecturer")</f>
        <v>Lecturer</v>
      </c>
      <c r="F303" s="1" t="str">
        <f ca="1">IFERROR(__xludf.DUMMYFUNCTION("""COMPUTED_VALUE"""),"er.arora143@gmail.com")</f>
        <v>er.arora143@gmail.com</v>
      </c>
      <c r="G303" s="1">
        <f ca="1">IFERROR(__xludf.DUMMYFUNCTION("""COMPUTED_VALUE"""),9876543143)</f>
        <v>9876543143</v>
      </c>
    </row>
    <row r="304" spans="1:7" x14ac:dyDescent="0.3">
      <c r="A304" s="1" t="str">
        <f ca="1">IFERROR(__xludf.DUMMYFUNCTION("""COMPUTED_VALUE"""),"Governement Polytechnic College, Jalandhar")</f>
        <v>Governement Polytechnic College, Jalandhar</v>
      </c>
      <c r="B304" s="1" t="str">
        <f ca="1">IFERROR(__xludf.DUMMYFUNCTION("""COMPUTED_VALUE"""),"Jalandhar")</f>
        <v>Jalandhar</v>
      </c>
      <c r="C304" s="1" t="str">
        <f ca="1">IFERROR(__xludf.DUMMYFUNCTION("""COMPUTED_VALUE"""),"Applied Science")</f>
        <v>Applied Science</v>
      </c>
      <c r="D304" s="1" t="str">
        <f ca="1">IFERROR(__xludf.DUMMYFUNCTION("""COMPUTED_VALUE"""),"Sh. Munish Sethi")</f>
        <v>Sh. Munish Sethi</v>
      </c>
      <c r="E304" s="1" t="str">
        <f ca="1">IFERROR(__xludf.DUMMYFUNCTION("""COMPUTED_VALUE"""),"Sr. Lecturer")</f>
        <v>Sr. Lecturer</v>
      </c>
      <c r="F304" s="1" t="str">
        <f ca="1">IFERROR(__xludf.DUMMYFUNCTION("""COMPUTED_VALUE"""),"munishsethi76@gmail.com")</f>
        <v>munishsethi76@gmail.com</v>
      </c>
      <c r="G304" s="1">
        <f ca="1">IFERROR(__xludf.DUMMYFUNCTION("""COMPUTED_VALUE"""),9872042266)</f>
        <v>9872042266</v>
      </c>
    </row>
    <row r="305" spans="1:7" x14ac:dyDescent="0.3">
      <c r="A305" s="1" t="str">
        <f ca="1">IFERROR(__xludf.DUMMYFUNCTION("""COMPUTED_VALUE"""),"Governement Polytechnic College, Jalandhar")</f>
        <v>Governement Polytechnic College, Jalandhar</v>
      </c>
      <c r="B305" s="1" t="str">
        <f ca="1">IFERROR(__xludf.DUMMYFUNCTION("""COMPUTED_VALUE"""),"Jalandhar")</f>
        <v>Jalandhar</v>
      </c>
      <c r="C305" s="1" t="str">
        <f ca="1">IFERROR(__xludf.DUMMYFUNCTION("""COMPUTED_VALUE"""),"Computer Science and Engineering")</f>
        <v>Computer Science and Engineering</v>
      </c>
      <c r="D305" s="1" t="str">
        <f ca="1">IFERROR(__xludf.DUMMYFUNCTION("""COMPUTED_VALUE"""),"Sh. Narinderpal")</f>
        <v>Sh. Narinderpal</v>
      </c>
      <c r="E305" s="1" t="str">
        <f ca="1">IFERROR(__xludf.DUMMYFUNCTION("""COMPUTED_VALUE"""),"Lecturer")</f>
        <v>Lecturer</v>
      </c>
      <c r="F305" s="1" t="str">
        <f ca="1">IFERROR(__xludf.DUMMYFUNCTION("""COMPUTED_VALUE"""),"npal046@gmail.com")</f>
        <v>npal046@gmail.com</v>
      </c>
      <c r="G305" s="1">
        <f ca="1">IFERROR(__xludf.DUMMYFUNCTION("""COMPUTED_VALUE"""),9888381419)</f>
        <v>9888381419</v>
      </c>
    </row>
    <row r="306" spans="1:7" x14ac:dyDescent="0.3">
      <c r="A306" s="1" t="str">
        <f ca="1">IFERROR(__xludf.DUMMYFUNCTION("""COMPUTED_VALUE"""),"Governement Polytechnic College, Jalandhar")</f>
        <v>Governement Polytechnic College, Jalandhar</v>
      </c>
      <c r="B306" s="1" t="str">
        <f ca="1">IFERROR(__xludf.DUMMYFUNCTION("""COMPUTED_VALUE"""),"Jalandhar")</f>
        <v>Jalandhar</v>
      </c>
      <c r="C306" s="1" t="str">
        <f ca="1">IFERROR(__xludf.DUMMYFUNCTION("""COMPUTED_VALUE"""),"Electronics and Communications Engineering")</f>
        <v>Electronics and Communications Engineering</v>
      </c>
      <c r="D306" s="1" t="str">
        <f ca="1">IFERROR(__xludf.DUMMYFUNCTION("""COMPUTED_VALUE"""),"Sh. Nitish Rana")</f>
        <v>Sh. Nitish Rana</v>
      </c>
      <c r="E306" s="1" t="str">
        <f ca="1">IFERROR(__xludf.DUMMYFUNCTION("""COMPUTED_VALUE"""),"Lecturer")</f>
        <v>Lecturer</v>
      </c>
      <c r="F306" s="1" t="str">
        <f ca="1">IFERROR(__xludf.DUMMYFUNCTION("""COMPUTED_VALUE"""),"nitishjun16@gmail.com")</f>
        <v>nitishjun16@gmail.com</v>
      </c>
      <c r="G306" s="1">
        <f ca="1">IFERROR(__xludf.DUMMYFUNCTION("""COMPUTED_VALUE"""),9465511774)</f>
        <v>9465511774</v>
      </c>
    </row>
    <row r="307" spans="1:7" x14ac:dyDescent="0.3">
      <c r="A307" s="1" t="str">
        <f ca="1">IFERROR(__xludf.DUMMYFUNCTION("""COMPUTED_VALUE"""),"Governement Polytechnic College, Jalandhar")</f>
        <v>Governement Polytechnic College, Jalandhar</v>
      </c>
      <c r="B307" s="1" t="str">
        <f ca="1">IFERROR(__xludf.DUMMYFUNCTION("""COMPUTED_VALUE"""),"Jalandhar")</f>
        <v>Jalandhar</v>
      </c>
      <c r="C307" s="1" t="str">
        <f ca="1">IFERROR(__xludf.DUMMYFUNCTION("""COMPUTED_VALUE"""),"Architecture Assistanceship")</f>
        <v>Architecture Assistanceship</v>
      </c>
      <c r="D307" s="1" t="str">
        <f ca="1">IFERROR(__xludf.DUMMYFUNCTION("""COMPUTED_VALUE"""),"Sh. Preet Paul")</f>
        <v>Sh. Preet Paul</v>
      </c>
      <c r="E307" s="1" t="str">
        <f ca="1">IFERROR(__xludf.DUMMYFUNCTION("""COMPUTED_VALUE"""),"Sr. Lecturer")</f>
        <v>Sr. Lecturer</v>
      </c>
      <c r="F307" s="1" t="str">
        <f ca="1">IFERROR(__xludf.DUMMYFUNCTION("""COMPUTED_VALUE"""),"pp.gpcg@gmail.com")</f>
        <v>pp.gpcg@gmail.com</v>
      </c>
      <c r="G307" s="1">
        <f ca="1">IFERROR(__xludf.DUMMYFUNCTION("""COMPUTED_VALUE"""),9501983434)</f>
        <v>9501983434</v>
      </c>
    </row>
    <row r="308" spans="1:7" x14ac:dyDescent="0.3">
      <c r="A308" s="1" t="str">
        <f ca="1">IFERROR(__xludf.DUMMYFUNCTION("""COMPUTED_VALUE"""),"Governement Polytechnic College, Jalandhar")</f>
        <v>Governement Polytechnic College, Jalandhar</v>
      </c>
      <c r="B308" s="1" t="str">
        <f ca="1">IFERROR(__xludf.DUMMYFUNCTION("""COMPUTED_VALUE"""),"Jalandhar")</f>
        <v>Jalandhar</v>
      </c>
      <c r="C308" s="1" t="str">
        <f ca="1">IFERROR(__xludf.DUMMYFUNCTION("""COMPUTED_VALUE"""),"Computer Science and Engineering")</f>
        <v>Computer Science and Engineering</v>
      </c>
      <c r="D308" s="1" t="str">
        <f ca="1">IFERROR(__xludf.DUMMYFUNCTION("""COMPUTED_VALUE"""),"Sh. Vipan Arora")</f>
        <v>Sh. Vipan Arora</v>
      </c>
      <c r="E308" s="1" t="str">
        <f ca="1">IFERROR(__xludf.DUMMYFUNCTION("""COMPUTED_VALUE"""),"HOD")</f>
        <v>HOD</v>
      </c>
      <c r="F308" s="1" t="str">
        <f ca="1">IFERROR(__xludf.DUMMYFUNCTION("""COMPUTED_VALUE"""),"vipan.arora@gmail.com")</f>
        <v>vipan.arora@gmail.com</v>
      </c>
      <c r="G308" s="1">
        <f ca="1">IFERROR(__xludf.DUMMYFUNCTION("""COMPUTED_VALUE"""),9815940602)</f>
        <v>9815940602</v>
      </c>
    </row>
    <row r="309" spans="1:7" x14ac:dyDescent="0.3">
      <c r="A309" s="1" t="str">
        <f ca="1">IFERROR(__xludf.DUMMYFUNCTION("""COMPUTED_VALUE"""),"Governement Polytechnic College, Jalandhar")</f>
        <v>Governement Polytechnic College, Jalandhar</v>
      </c>
      <c r="B309" s="1" t="str">
        <f ca="1">IFERROR(__xludf.DUMMYFUNCTION("""COMPUTED_VALUE"""),"Jalandhar")</f>
        <v>Jalandhar</v>
      </c>
      <c r="C309" s="1" t="str">
        <f ca="1">IFERROR(__xludf.DUMMYFUNCTION("""COMPUTED_VALUE"""),"Applied Science")</f>
        <v>Applied Science</v>
      </c>
      <c r="D309" s="1" t="str">
        <f ca="1">IFERROR(__xludf.DUMMYFUNCTION("""COMPUTED_VALUE"""),"Smt. Hardeep Kaur")</f>
        <v>Smt. Hardeep Kaur</v>
      </c>
      <c r="E309" s="1" t="str">
        <f ca="1">IFERROR(__xludf.DUMMYFUNCTION("""COMPUTED_VALUE"""),"Lecturer")</f>
        <v>Lecturer</v>
      </c>
      <c r="F309" s="1" t="str">
        <f ca="1">IFERROR(__xludf.DUMMYFUNCTION("""COMPUTED_VALUE"""),"hardeepkalsi.2020@gmail.com")</f>
        <v>hardeepkalsi.2020@gmail.com</v>
      </c>
      <c r="G309" s="1">
        <f ca="1">IFERROR(__xludf.DUMMYFUNCTION("""COMPUTED_VALUE"""),7508519673)</f>
        <v>7508519673</v>
      </c>
    </row>
    <row r="310" spans="1:7" x14ac:dyDescent="0.3">
      <c r="A310" s="1" t="str">
        <f ca="1">IFERROR(__xludf.DUMMYFUNCTION("""COMPUTED_VALUE"""),"Governement Polytechnic College, Jalandhar")</f>
        <v>Governement Polytechnic College, Jalandhar</v>
      </c>
      <c r="B310" s="1" t="str">
        <f ca="1">IFERROR(__xludf.DUMMYFUNCTION("""COMPUTED_VALUE"""),"Jalandhar")</f>
        <v>Jalandhar</v>
      </c>
      <c r="C310" s="1" t="str">
        <f ca="1">IFERROR(__xludf.DUMMYFUNCTION("""COMPUTED_VALUE"""),"Electronics and Communications Engineering")</f>
        <v>Electronics and Communications Engineering</v>
      </c>
      <c r="D310" s="1" t="str">
        <f ca="1">IFERROR(__xludf.DUMMYFUNCTION("""COMPUTED_VALUE"""),"Smt. Harpreet Kaur")</f>
        <v>Smt. Harpreet Kaur</v>
      </c>
      <c r="E310" s="1" t="str">
        <f ca="1">IFERROR(__xludf.DUMMYFUNCTION("""COMPUTED_VALUE"""),"HOD")</f>
        <v>HOD</v>
      </c>
      <c r="F310" s="1" t="str">
        <f ca="1">IFERROR(__xludf.DUMMYFUNCTION("""COMPUTED_VALUE"""),"Harpreet.gpcg@gmail.com")</f>
        <v>Harpreet.gpcg@gmail.com</v>
      </c>
      <c r="G310" s="1"/>
    </row>
    <row r="311" spans="1:7" x14ac:dyDescent="0.3">
      <c r="A311" s="1" t="str">
        <f ca="1">IFERROR(__xludf.DUMMYFUNCTION("""COMPUTED_VALUE"""),"Governement Polytechnic College, Jalandhar")</f>
        <v>Governement Polytechnic College, Jalandhar</v>
      </c>
      <c r="B311" s="1" t="str">
        <f ca="1">IFERROR(__xludf.DUMMYFUNCTION("""COMPUTED_VALUE"""),"Jalandhar")</f>
        <v>Jalandhar</v>
      </c>
      <c r="C311" s="1" t="str">
        <f ca="1">IFERROR(__xludf.DUMMYFUNCTION("""COMPUTED_VALUE"""),"Applied Science")</f>
        <v>Applied Science</v>
      </c>
      <c r="D311" s="1" t="str">
        <f ca="1">IFERROR(__xludf.DUMMYFUNCTION("""COMPUTED_VALUE"""),"Smt. Kanchan Sandhu")</f>
        <v>Smt. Kanchan Sandhu</v>
      </c>
      <c r="E311" s="1" t="str">
        <f ca="1">IFERROR(__xludf.DUMMYFUNCTION("""COMPUTED_VALUE"""),"Lecturer")</f>
        <v>Lecturer</v>
      </c>
      <c r="F311" s="1" t="str">
        <f ca="1">IFERROR(__xludf.DUMMYFUNCTION("""COMPUTED_VALUE"""),"kanchansandhu2k@gmail.com")</f>
        <v>kanchansandhu2k@gmail.com</v>
      </c>
      <c r="G311" s="1">
        <f ca="1">IFERROR(__xludf.DUMMYFUNCTION("""COMPUTED_VALUE"""),9988991062)</f>
        <v>9988991062</v>
      </c>
    </row>
    <row r="312" spans="1:7" x14ac:dyDescent="0.3">
      <c r="A312" s="1" t="str">
        <f ca="1">IFERROR(__xludf.DUMMYFUNCTION("""COMPUTED_VALUE"""),"Governement Polytechnic College, Jalandhar")</f>
        <v>Governement Polytechnic College, Jalandhar</v>
      </c>
      <c r="B312" s="1" t="str">
        <f ca="1">IFERROR(__xludf.DUMMYFUNCTION("""COMPUTED_VALUE"""),"Jalandhar")</f>
        <v>Jalandhar</v>
      </c>
      <c r="C312" s="1" t="str">
        <f ca="1">IFERROR(__xludf.DUMMYFUNCTION("""COMPUTED_VALUE"""),"Computer Science and Engineering")</f>
        <v>Computer Science and Engineering</v>
      </c>
      <c r="D312" s="1" t="str">
        <f ca="1">IFERROR(__xludf.DUMMYFUNCTION("""COMPUTED_VALUE"""),"Smt. Kanupriya Aggarwal")</f>
        <v>Smt. Kanupriya Aggarwal</v>
      </c>
      <c r="E312" s="1" t="str">
        <f ca="1">IFERROR(__xludf.DUMMYFUNCTION("""COMPUTED_VALUE"""),"System Analyst")</f>
        <v>System Analyst</v>
      </c>
      <c r="F312" s="1" t="str">
        <f ca="1">IFERROR(__xludf.DUMMYFUNCTION("""COMPUTED_VALUE"""),"kanupriya.087@gmail.com")</f>
        <v>kanupriya.087@gmail.com</v>
      </c>
      <c r="G312" s="1">
        <f ca="1">IFERROR(__xludf.DUMMYFUNCTION("""COMPUTED_VALUE"""),9878282723)</f>
        <v>9878282723</v>
      </c>
    </row>
    <row r="313" spans="1:7" x14ac:dyDescent="0.3">
      <c r="A313" s="1" t="str">
        <f ca="1">IFERROR(__xludf.DUMMYFUNCTION("""COMPUTED_VALUE"""),"Governement Polytechnic College, Jalandhar")</f>
        <v>Governement Polytechnic College, Jalandhar</v>
      </c>
      <c r="B313" s="1" t="str">
        <f ca="1">IFERROR(__xludf.DUMMYFUNCTION("""COMPUTED_VALUE"""),"Jalandhar")</f>
        <v>Jalandhar</v>
      </c>
      <c r="C313" s="1" t="str">
        <f ca="1">IFERROR(__xludf.DUMMYFUNCTION("""COMPUTED_VALUE"""),"Library &amp; Information Science")</f>
        <v>Library &amp; Information Science</v>
      </c>
      <c r="D313" s="1" t="str">
        <f ca="1">IFERROR(__xludf.DUMMYFUNCTION("""COMPUTED_VALUE"""),"Smt. Mandeep Kaur")</f>
        <v>Smt. Mandeep Kaur</v>
      </c>
      <c r="E313" s="1" t="str">
        <f ca="1">IFERROR(__xludf.DUMMYFUNCTION("""COMPUTED_VALUE"""),"Sr. Lecturer")</f>
        <v>Sr. Lecturer</v>
      </c>
      <c r="F313" s="1" t="str">
        <f ca="1">IFERROR(__xludf.DUMMYFUNCTION("""COMPUTED_VALUE"""),"deepman84@gmail.com")</f>
        <v>deepman84@gmail.com</v>
      </c>
      <c r="G313" s="1">
        <f ca="1">IFERROR(__xludf.DUMMYFUNCTION("""COMPUTED_VALUE"""),9888623127)</f>
        <v>9888623127</v>
      </c>
    </row>
    <row r="314" spans="1:7" x14ac:dyDescent="0.3">
      <c r="A314" s="1" t="str">
        <f ca="1">IFERROR(__xludf.DUMMYFUNCTION("""COMPUTED_VALUE"""),"Governement Polytechnic College, Jalandhar")</f>
        <v>Governement Polytechnic College, Jalandhar</v>
      </c>
      <c r="B314" s="1" t="str">
        <f ca="1">IFERROR(__xludf.DUMMYFUNCTION("""COMPUTED_VALUE"""),"Jalandhar")</f>
        <v>Jalandhar</v>
      </c>
      <c r="C314" s="1" t="str">
        <f ca="1">IFERROR(__xludf.DUMMYFUNCTION("""COMPUTED_VALUE"""),"Computer Science and Engineering")</f>
        <v>Computer Science and Engineering</v>
      </c>
      <c r="D314" s="1" t="str">
        <f ca="1">IFERROR(__xludf.DUMMYFUNCTION("""COMPUTED_VALUE"""),"Smt. Navreet Kaur")</f>
        <v>Smt. Navreet Kaur</v>
      </c>
      <c r="E314" s="1" t="str">
        <f ca="1">IFERROR(__xludf.DUMMYFUNCTION("""COMPUTED_VALUE"""),"Lecturer")</f>
        <v>Lecturer</v>
      </c>
      <c r="F314" s="1" t="str">
        <f ca="1">IFERROR(__xludf.DUMMYFUNCTION("""COMPUTED_VALUE"""),"navreekaur09@gmail.com")</f>
        <v>navreekaur09@gmail.com</v>
      </c>
      <c r="G314" s="1">
        <f ca="1">IFERROR(__xludf.DUMMYFUNCTION("""COMPUTED_VALUE"""),9501395343)</f>
        <v>9501395343</v>
      </c>
    </row>
    <row r="315" spans="1:7" x14ac:dyDescent="0.3">
      <c r="A315" s="1" t="str">
        <f ca="1">IFERROR(__xludf.DUMMYFUNCTION("""COMPUTED_VALUE"""),"Governement Polytechnic College, Jalandhar")</f>
        <v>Governement Polytechnic College, Jalandhar</v>
      </c>
      <c r="B315" s="1" t="str">
        <f ca="1">IFERROR(__xludf.DUMMYFUNCTION("""COMPUTED_VALUE"""),"Jalandhar")</f>
        <v>Jalandhar</v>
      </c>
      <c r="C315" s="1" t="str">
        <f ca="1">IFERROR(__xludf.DUMMYFUNCTION("""COMPUTED_VALUE"""),"Applied Science")</f>
        <v>Applied Science</v>
      </c>
      <c r="D315" s="1" t="str">
        <f ca="1">IFERROR(__xludf.DUMMYFUNCTION("""COMPUTED_VALUE"""),"Smt. Parminder Kaur")</f>
        <v>Smt. Parminder Kaur</v>
      </c>
      <c r="E315" s="1" t="str">
        <f ca="1">IFERROR(__xludf.DUMMYFUNCTION("""COMPUTED_VALUE"""),"HOD")</f>
        <v>HOD</v>
      </c>
      <c r="F315" s="1" t="str">
        <f ca="1">IFERROR(__xludf.DUMMYFUNCTION("""COMPUTED_VALUE"""),"parmindergpcg70@gmail.com")</f>
        <v>parmindergpcg70@gmail.com</v>
      </c>
      <c r="G315" s="1">
        <f ca="1">IFERROR(__xludf.DUMMYFUNCTION("""COMPUTED_VALUE"""),9501107392)</f>
        <v>9501107392</v>
      </c>
    </row>
    <row r="316" spans="1:7" x14ac:dyDescent="0.3">
      <c r="A316" s="1" t="str">
        <f ca="1">IFERROR(__xludf.DUMMYFUNCTION("""COMPUTED_VALUE"""),"Governement Polytechnic College, Jalandhar")</f>
        <v>Governement Polytechnic College, Jalandhar</v>
      </c>
      <c r="B316" s="1" t="str">
        <f ca="1">IFERROR(__xludf.DUMMYFUNCTION("""COMPUTED_VALUE"""),"Jalandhar")</f>
        <v>Jalandhar</v>
      </c>
      <c r="C316" s="1" t="str">
        <f ca="1">IFERROR(__xludf.DUMMYFUNCTION("""COMPUTED_VALUE"""),"Pharmacy")</f>
        <v>Pharmacy</v>
      </c>
      <c r="D316" s="1" t="str">
        <f ca="1">IFERROR(__xludf.DUMMYFUNCTION("""COMPUTED_VALUE"""),"Smt. Rupinder Kaur Gill")</f>
        <v>Smt. Rupinder Kaur Gill</v>
      </c>
      <c r="E316" s="1" t="str">
        <f ca="1">IFERROR(__xludf.DUMMYFUNCTION("""COMPUTED_VALUE"""),"Lecturer")</f>
        <v>Lecturer</v>
      </c>
      <c r="F316" s="1" t="str">
        <f ca="1">IFERROR(__xludf.DUMMYFUNCTION("""COMPUTED_VALUE"""),"rupinder.pharmacy@gmail.com")</f>
        <v>rupinder.pharmacy@gmail.com</v>
      </c>
      <c r="G316" s="1">
        <f ca="1">IFERROR(__xludf.DUMMYFUNCTION("""COMPUTED_VALUE"""),9501218324)</f>
        <v>9501218324</v>
      </c>
    </row>
    <row r="317" spans="1:7" x14ac:dyDescent="0.3">
      <c r="A317" s="1" t="str">
        <f ca="1">IFERROR(__xludf.DUMMYFUNCTION("""COMPUTED_VALUE"""),"Governement Polytechnic College, Jalandhar")</f>
        <v>Governement Polytechnic College, Jalandhar</v>
      </c>
      <c r="B317" s="1" t="str">
        <f ca="1">IFERROR(__xludf.DUMMYFUNCTION("""COMPUTED_VALUE"""),"Jalandhar")</f>
        <v>Jalandhar</v>
      </c>
      <c r="C317" s="1" t="str">
        <f ca="1">IFERROR(__xludf.DUMMYFUNCTION("""COMPUTED_VALUE"""),"Pharmacy")</f>
        <v>Pharmacy</v>
      </c>
      <c r="D317" s="1" t="str">
        <f ca="1">IFERROR(__xludf.DUMMYFUNCTION("""COMPUTED_VALUE"""),"Pooja")</f>
        <v>Pooja</v>
      </c>
      <c r="E317" s="1" t="str">
        <f ca="1">IFERROR(__xludf.DUMMYFUNCTION("""COMPUTED_VALUE"""),"Lecturer")</f>
        <v>Lecturer</v>
      </c>
      <c r="F317" s="1" t="str">
        <f ca="1">IFERROR(__xludf.DUMMYFUNCTION("""COMPUTED_VALUE"""),"puja1990fb@gmail.com")</f>
        <v>puja1990fb@gmail.com</v>
      </c>
      <c r="G317" s="1">
        <f ca="1">IFERROR(__xludf.DUMMYFUNCTION("""COMPUTED_VALUE"""),8699336188)</f>
        <v>8699336188</v>
      </c>
    </row>
    <row r="318" spans="1:7" x14ac:dyDescent="0.3">
      <c r="A318" s="1" t="str">
        <f ca="1">IFERROR(__xludf.DUMMYFUNCTION("""COMPUTED_VALUE"""),"Governement Polytechnic College, Jalandhar")</f>
        <v>Governement Polytechnic College, Jalandhar</v>
      </c>
      <c r="B318" s="1" t="str">
        <f ca="1">IFERROR(__xludf.DUMMYFUNCTION("""COMPUTED_VALUE"""),"Jalandhar")</f>
        <v>Jalandhar</v>
      </c>
      <c r="C318" s="1" t="str">
        <f ca="1">IFERROR(__xludf.DUMMYFUNCTION("""COMPUTED_VALUE"""),"Information Technology")</f>
        <v>Information Technology</v>
      </c>
      <c r="D318" s="1" t="str">
        <f ca="1">IFERROR(__xludf.DUMMYFUNCTION("""COMPUTED_VALUE"""),"Navneet Kaur Randhawa")</f>
        <v>Navneet Kaur Randhawa</v>
      </c>
      <c r="E318" s="1" t="str">
        <f ca="1">IFERROR(__xludf.DUMMYFUNCTION("""COMPUTED_VALUE"""),"Sr. Lecturer")</f>
        <v>Sr. Lecturer</v>
      </c>
      <c r="F318" s="1" t="str">
        <f ca="1">IFERROR(__xludf.DUMMYFUNCTION("""COMPUTED_VALUE"""),"nkrchatha@gmail.com")</f>
        <v>nkrchatha@gmail.com</v>
      </c>
      <c r="G318" s="1">
        <f ca="1">IFERROR(__xludf.DUMMYFUNCTION("""COMPUTED_VALUE"""),9465637474)</f>
        <v>9465637474</v>
      </c>
    </row>
    <row r="319" spans="1:7" x14ac:dyDescent="0.3">
      <c r="A319" s="1" t="str">
        <f ca="1">IFERROR(__xludf.DUMMYFUNCTION("""COMPUTED_VALUE"""),"Governement Polytechnic College, Jalandhar")</f>
        <v>Governement Polytechnic College, Jalandhar</v>
      </c>
      <c r="B319" s="1" t="str">
        <f ca="1">IFERROR(__xludf.DUMMYFUNCTION("""COMPUTED_VALUE"""),"Jalandhar")</f>
        <v>Jalandhar</v>
      </c>
      <c r="C319" s="1" t="str">
        <f ca="1">IFERROR(__xludf.DUMMYFUNCTION("""COMPUTED_VALUE"""),"Information Technology")</f>
        <v>Information Technology</v>
      </c>
      <c r="D319" s="1" t="str">
        <f ca="1">IFERROR(__xludf.DUMMYFUNCTION("""COMPUTED_VALUE"""),"Surinder Singh")</f>
        <v>Surinder Singh</v>
      </c>
      <c r="E319" s="1" t="str">
        <f ca="1">IFERROR(__xludf.DUMMYFUNCTION("""COMPUTED_VALUE"""),"Lecturer")</f>
        <v>Lecturer</v>
      </c>
      <c r="F319" s="1" t="str">
        <f ca="1">IFERROR(__xludf.DUMMYFUNCTION("""COMPUTED_VALUE"""),"surinder752017@gmail.com")</f>
        <v>surinder752017@gmail.com</v>
      </c>
      <c r="G319" s="1">
        <f ca="1">IFERROR(__xludf.DUMMYFUNCTION("""COMPUTED_VALUE"""),8146588188)</f>
        <v>8146588188</v>
      </c>
    </row>
    <row r="320" spans="1:7" x14ac:dyDescent="0.3">
      <c r="A320" s="1" t="str">
        <f ca="1">IFERROR(__xludf.DUMMYFUNCTION("""COMPUTED_VALUE"""),"Governement Polytechnic College, Jalandhar")</f>
        <v>Governement Polytechnic College, Jalandhar</v>
      </c>
      <c r="B320" s="1" t="str">
        <f ca="1">IFERROR(__xludf.DUMMYFUNCTION("""COMPUTED_VALUE"""),"Jalandhar")</f>
        <v>Jalandhar</v>
      </c>
      <c r="C320" s="1" t="str">
        <f ca="1">IFERROR(__xludf.DUMMYFUNCTION("""COMPUTED_VALUE"""),"Mechanical Engg")</f>
        <v>Mechanical Engg</v>
      </c>
      <c r="D320" s="1" t="str">
        <f ca="1">IFERROR(__xludf.DUMMYFUNCTION("""COMPUTED_VALUE"""),"Gurpinder Singh")</f>
        <v>Gurpinder Singh</v>
      </c>
      <c r="E320" s="1" t="str">
        <f ca="1">IFERROR(__xludf.DUMMYFUNCTION("""COMPUTED_VALUE"""),"Lecturer")</f>
        <v>Lecturer</v>
      </c>
      <c r="F320" s="1" t="str">
        <f ca="1">IFERROR(__xludf.DUMMYFUNCTION("""COMPUTED_VALUE"""),"Sehmbi187@gmail.com")</f>
        <v>Sehmbi187@gmail.com</v>
      </c>
      <c r="G320" s="1">
        <f ca="1">IFERROR(__xludf.DUMMYFUNCTION("""COMPUTED_VALUE"""),8872322522)</f>
        <v>8872322522</v>
      </c>
    </row>
    <row r="321" spans="1:7" x14ac:dyDescent="0.3">
      <c r="A321" s="1" t="str">
        <f ca="1">IFERROR(__xludf.DUMMYFUNCTION("""COMPUTED_VALUE"""),"Governement Polytechnic College, Jalandhar")</f>
        <v>Governement Polytechnic College, Jalandhar</v>
      </c>
      <c r="B321" s="1" t="str">
        <f ca="1">IFERROR(__xludf.DUMMYFUNCTION("""COMPUTED_VALUE"""),"Jalandhar")</f>
        <v>Jalandhar</v>
      </c>
      <c r="C321" s="1" t="str">
        <f ca="1">IFERROR(__xludf.DUMMYFUNCTION("""COMPUTED_VALUE"""),"Applied Science")</f>
        <v>Applied Science</v>
      </c>
      <c r="D321" s="1" t="str">
        <f ca="1">IFERROR(__xludf.DUMMYFUNCTION("""COMPUTED_VALUE"""),"Ajay Kumar")</f>
        <v>Ajay Kumar</v>
      </c>
      <c r="E321" s="1" t="str">
        <f ca="1">IFERROR(__xludf.DUMMYFUNCTION("""COMPUTED_VALUE"""),"Lecturer")</f>
        <v>Lecturer</v>
      </c>
      <c r="F321" s="1" t="str">
        <f ca="1">IFERROR(__xludf.DUMMYFUNCTION("""COMPUTED_VALUE"""),"ajayansal92@gmail.com")</f>
        <v>ajayansal92@gmail.com</v>
      </c>
      <c r="G321" s="1">
        <f ca="1">IFERROR(__xludf.DUMMYFUNCTION("""COMPUTED_VALUE"""),9646585925)</f>
        <v>9646585925</v>
      </c>
    </row>
    <row r="322" spans="1:7" x14ac:dyDescent="0.3">
      <c r="A322" s="1" t="str">
        <f ca="1">IFERROR(__xludf.DUMMYFUNCTION("""COMPUTED_VALUE"""),"Governement Polytechnic College, Begowal")</f>
        <v>Governement Polytechnic College, Begowal</v>
      </c>
      <c r="B322" s="1" t="str">
        <f ca="1">IFERROR(__xludf.DUMMYFUNCTION("""COMPUTED_VALUE"""),"Kapurthala")</f>
        <v>Kapurthala</v>
      </c>
      <c r="C322" s="1" t="str">
        <f ca="1">IFERROR(__xludf.DUMMYFUNCTION("""COMPUTED_VALUE"""),"Mechanical Engineering")</f>
        <v>Mechanical Engineering</v>
      </c>
      <c r="D322" s="1" t="str">
        <f ca="1">IFERROR(__xludf.DUMMYFUNCTION("""COMPUTED_VALUE"""),"AMARJIT SINGH")</f>
        <v>AMARJIT SINGH</v>
      </c>
      <c r="E322" s="1" t="str">
        <f ca="1">IFERROR(__xludf.DUMMYFUNCTION("""COMPUTED_VALUE"""),"Sr. Lecturer")</f>
        <v>Sr. Lecturer</v>
      </c>
      <c r="F322" s="1" t="str">
        <f ca="1">IFERROR(__xludf.DUMMYFUNCTION("""COMPUTED_VALUE"""),"ajsbadgaal@gmail.com")</f>
        <v>ajsbadgaal@gmail.com</v>
      </c>
      <c r="G322" s="1">
        <f ca="1">IFERROR(__xludf.DUMMYFUNCTION("""COMPUTED_VALUE"""),9501866411)</f>
        <v>9501866411</v>
      </c>
    </row>
    <row r="323" spans="1:7" x14ac:dyDescent="0.3">
      <c r="A323" s="1" t="str">
        <f ca="1">IFERROR(__xludf.DUMMYFUNCTION("""COMPUTED_VALUE"""),"Governement Polytechnic College, Begowal")</f>
        <v>Governement Polytechnic College, Begowal</v>
      </c>
      <c r="B323" s="1" t="str">
        <f ca="1">IFERROR(__xludf.DUMMYFUNCTION("""COMPUTED_VALUE"""),"Kapurthala")</f>
        <v>Kapurthala</v>
      </c>
      <c r="C323" s="1" t="str">
        <f ca="1">IFERROR(__xludf.DUMMYFUNCTION("""COMPUTED_VALUE"""),"Electrical Engineering")</f>
        <v>Electrical Engineering</v>
      </c>
      <c r="D323" s="1" t="str">
        <f ca="1">IFERROR(__xludf.DUMMYFUNCTION("""COMPUTED_VALUE"""),"DAMAN SAGAR")</f>
        <v>DAMAN SAGAR</v>
      </c>
      <c r="E323" s="1" t="str">
        <f ca="1">IFERROR(__xludf.DUMMYFUNCTION("""COMPUTED_VALUE"""),"Lecturer")</f>
        <v>Lecturer</v>
      </c>
      <c r="F323" s="1" t="str">
        <f ca="1">IFERROR(__xludf.DUMMYFUNCTION("""COMPUTED_VALUE"""),"damansagarmal@gmail.com")</f>
        <v>damansagarmal@gmail.com</v>
      </c>
      <c r="G323" s="1">
        <f ca="1">IFERROR(__xludf.DUMMYFUNCTION("""COMPUTED_VALUE"""),9041967324)</f>
        <v>9041967324</v>
      </c>
    </row>
    <row r="324" spans="1:7" x14ac:dyDescent="0.3">
      <c r="A324" s="1" t="str">
        <f ca="1">IFERROR(__xludf.DUMMYFUNCTION("""COMPUTED_VALUE"""),"Governement Polytechnic College, Begowal")</f>
        <v>Governement Polytechnic College, Begowal</v>
      </c>
      <c r="B324" s="1" t="str">
        <f ca="1">IFERROR(__xludf.DUMMYFUNCTION("""COMPUTED_VALUE"""),"Kapurthala")</f>
        <v>Kapurthala</v>
      </c>
      <c r="C324" s="1" t="str">
        <f ca="1">IFERROR(__xludf.DUMMYFUNCTION("""COMPUTED_VALUE"""),"Mechanical Engineering")</f>
        <v>Mechanical Engineering</v>
      </c>
      <c r="D324" s="1" t="str">
        <f ca="1">IFERROR(__xludf.DUMMYFUNCTION("""COMPUTED_VALUE"""),"HARMEET KUMAR")</f>
        <v>HARMEET KUMAR</v>
      </c>
      <c r="E324" s="1" t="str">
        <f ca="1">IFERROR(__xludf.DUMMYFUNCTION("""COMPUTED_VALUE"""),"Lecturer")</f>
        <v>Lecturer</v>
      </c>
      <c r="F324" s="1" t="str">
        <f ca="1">IFERROR(__xludf.DUMMYFUNCTION("""COMPUTED_VALUE"""),"Harmeet867@gmail.com")</f>
        <v>Harmeet867@gmail.com</v>
      </c>
      <c r="G324" s="1">
        <f ca="1">IFERROR(__xludf.DUMMYFUNCTION("""COMPUTED_VALUE"""),9417151511)</f>
        <v>9417151511</v>
      </c>
    </row>
    <row r="325" spans="1:7" x14ac:dyDescent="0.3">
      <c r="A325" s="1" t="str">
        <f ca="1">IFERROR(__xludf.DUMMYFUNCTION("""COMPUTED_VALUE"""),"Governement Polytechnic College, Begowal")</f>
        <v>Governement Polytechnic College, Begowal</v>
      </c>
      <c r="B325" s="1" t="str">
        <f ca="1">IFERROR(__xludf.DUMMYFUNCTION("""COMPUTED_VALUE"""),"Kapurthala")</f>
        <v>Kapurthala</v>
      </c>
      <c r="C325" s="1" t="str">
        <f ca="1">IFERROR(__xludf.DUMMYFUNCTION("""COMPUTED_VALUE"""),"Electrical Engineering")</f>
        <v>Electrical Engineering</v>
      </c>
      <c r="D325" s="1" t="str">
        <f ca="1">IFERROR(__xludf.DUMMYFUNCTION("""COMPUTED_VALUE"""),"RAKESH BHAGAT")</f>
        <v>RAKESH BHAGAT</v>
      </c>
      <c r="E325" s="1" t="str">
        <f ca="1">IFERROR(__xludf.DUMMYFUNCTION("""COMPUTED_VALUE"""),"HOD")</f>
        <v>HOD</v>
      </c>
      <c r="F325" s="1" t="str">
        <f ca="1">IFERROR(__xludf.DUMMYFUNCTION("""COMPUTED_VALUE"""),"shiva.bhagat22@gmail.com")</f>
        <v>shiva.bhagat22@gmail.com</v>
      </c>
      <c r="G325" s="1">
        <f ca="1">IFERROR(__xludf.DUMMYFUNCTION("""COMPUTED_VALUE"""),9872204731)</f>
        <v>9872204731</v>
      </c>
    </row>
    <row r="326" spans="1:7" x14ac:dyDescent="0.3">
      <c r="A326" s="1" t="str">
        <f ca="1">IFERROR(__xludf.DUMMYFUNCTION("""COMPUTED_VALUE"""),"Governement Polytechnic College, Begowal")</f>
        <v>Governement Polytechnic College, Begowal</v>
      </c>
      <c r="B326" s="1" t="str">
        <f ca="1">IFERROR(__xludf.DUMMYFUNCTION("""COMPUTED_VALUE"""),"Kapurthala")</f>
        <v>Kapurthala</v>
      </c>
      <c r="C326" s="1" t="str">
        <f ca="1">IFERROR(__xludf.DUMMYFUNCTION("""COMPUTED_VALUE"""),"Electrical Engineering")</f>
        <v>Electrical Engineering</v>
      </c>
      <c r="D326" s="1" t="str">
        <f ca="1">IFERROR(__xludf.DUMMYFUNCTION("""COMPUTED_VALUE"""),"SACHIN MAHNA")</f>
        <v>SACHIN MAHNA</v>
      </c>
      <c r="E326" s="1" t="str">
        <f ca="1">IFERROR(__xludf.DUMMYFUNCTION("""COMPUTED_VALUE"""),"Sr. Lecturer")</f>
        <v>Sr. Lecturer</v>
      </c>
      <c r="F326" s="1" t="str">
        <f ca="1">IFERROR(__xludf.DUMMYFUNCTION("""COMPUTED_VALUE"""),"mahna45@gmail.com")</f>
        <v>mahna45@gmail.com</v>
      </c>
      <c r="G326" s="1">
        <f ca="1">IFERROR(__xludf.DUMMYFUNCTION("""COMPUTED_VALUE"""),9501476655)</f>
        <v>9501476655</v>
      </c>
    </row>
    <row r="327" spans="1:7" x14ac:dyDescent="0.3">
      <c r="A327" s="1" t="str">
        <f ca="1">IFERROR(__xludf.DUMMYFUNCTION("""COMPUTED_VALUE"""),"Governement Polytechnic College, Begowal")</f>
        <v>Governement Polytechnic College, Begowal</v>
      </c>
      <c r="B327" s="1" t="str">
        <f ca="1">IFERROR(__xludf.DUMMYFUNCTION("""COMPUTED_VALUE"""),"Kapurthala")</f>
        <v>Kapurthala</v>
      </c>
      <c r="C327" s="1" t="str">
        <f ca="1">IFERROR(__xludf.DUMMYFUNCTION("""COMPUTED_VALUE"""),"Mechanical Engineering")</f>
        <v>Mechanical Engineering</v>
      </c>
      <c r="D327" s="1" t="str">
        <f ca="1">IFERROR(__xludf.DUMMYFUNCTION("""COMPUTED_VALUE"""),"TARSEM JASSAL")</f>
        <v>TARSEM JASSAL</v>
      </c>
      <c r="E327" s="1" t="str">
        <f ca="1">IFERROR(__xludf.DUMMYFUNCTION("""COMPUTED_VALUE"""),"HOD")</f>
        <v>HOD</v>
      </c>
      <c r="F327" s="1" t="str">
        <f ca="1">IFERROR(__xludf.DUMMYFUNCTION("""COMPUTED_VALUE"""),"t.jassal13@gmail.com")</f>
        <v>t.jassal13@gmail.com</v>
      </c>
      <c r="G327" s="1">
        <f ca="1">IFERROR(__xludf.DUMMYFUNCTION("""COMPUTED_VALUE"""),9915577522)</f>
        <v>9915577522</v>
      </c>
    </row>
    <row r="328" spans="1:7" x14ac:dyDescent="0.3">
      <c r="A328" s="1" t="str">
        <f ca="1">IFERROR(__xludf.DUMMYFUNCTION("""COMPUTED_VALUE"""),"Governement Polytechnic College, Begowal")</f>
        <v>Governement Polytechnic College, Begowal</v>
      </c>
      <c r="B328" s="1" t="str">
        <f ca="1">IFERROR(__xludf.DUMMYFUNCTION("""COMPUTED_VALUE"""),"Kapurthala")</f>
        <v>Kapurthala</v>
      </c>
      <c r="C328" s="1" t="str">
        <f ca="1">IFERROR(__xludf.DUMMYFUNCTION("""COMPUTED_VALUE"""),"Mechanical Engineering")</f>
        <v>Mechanical Engineering</v>
      </c>
      <c r="D328" s="1" t="str">
        <f ca="1">IFERROR(__xludf.DUMMYFUNCTION("""COMPUTED_VALUE"""),"VIJAY KUMAR SHARMA")</f>
        <v>VIJAY KUMAR SHARMA</v>
      </c>
      <c r="E328" s="1" t="str">
        <f ca="1">IFERROR(__xludf.DUMMYFUNCTION("""COMPUTED_VALUE"""),"Sr. Lecturer")</f>
        <v>Sr. Lecturer</v>
      </c>
      <c r="F328" s="1" t="str">
        <f ca="1">IFERROR(__xludf.DUMMYFUNCTION("""COMPUTED_VALUE"""),"vijai.banga@gmail.com")</f>
        <v>vijai.banga@gmail.com</v>
      </c>
      <c r="G328" s="1">
        <f ca="1">IFERROR(__xludf.DUMMYFUNCTION("""COMPUTED_VALUE"""),9855966633)</f>
        <v>9855966633</v>
      </c>
    </row>
    <row r="329" spans="1:7" x14ac:dyDescent="0.3">
      <c r="A329" s="1" t="str">
        <f ca="1">IFERROR(__xludf.DUMMYFUNCTION("""COMPUTED_VALUE"""),"GITCKT, Ludhiana")</f>
        <v>GITCKT, Ludhiana</v>
      </c>
      <c r="B329" s="1" t="str">
        <f ca="1">IFERROR(__xludf.DUMMYFUNCTION("""COMPUTED_VALUE"""),"Ludhiana")</f>
        <v>Ludhiana</v>
      </c>
      <c r="C329" s="1" t="str">
        <f ca="1">IFERROR(__xludf.DUMMYFUNCTION("""COMPUTED_VALUE"""),"Textile Technology( Knitting)")</f>
        <v>Textile Technology( Knitting)</v>
      </c>
      <c r="D329" s="1" t="str">
        <f ca="1">IFERROR(__xludf.DUMMYFUNCTION("""COMPUTED_VALUE"""),"Ms. Harmandeep Kaur")</f>
        <v>Ms. Harmandeep Kaur</v>
      </c>
      <c r="E329" s="1" t="str">
        <f ca="1">IFERROR(__xludf.DUMMYFUNCTION("""COMPUTED_VALUE"""),"Lecturer")</f>
        <v>Lecturer</v>
      </c>
      <c r="F329" s="1" t="str">
        <f ca="1">IFERROR(__xludf.DUMMYFUNCTION("""COMPUTED_VALUE"""),"harmankaursidhu@gmail.com")</f>
        <v>harmankaursidhu@gmail.com</v>
      </c>
      <c r="G329" s="1">
        <f ca="1">IFERROR(__xludf.DUMMYFUNCTION("""COMPUTED_VALUE"""),9463242009)</f>
        <v>9463242009</v>
      </c>
    </row>
    <row r="330" spans="1:7" x14ac:dyDescent="0.3">
      <c r="A330" s="1" t="str">
        <f ca="1">IFERROR(__xludf.DUMMYFUNCTION("""COMPUTED_VALUE"""),"GITCKT, Ludhiana")</f>
        <v>GITCKT, Ludhiana</v>
      </c>
      <c r="B330" s="1" t="str">
        <f ca="1">IFERROR(__xludf.DUMMYFUNCTION("""COMPUTED_VALUE"""),"Ludhiana")</f>
        <v>Ludhiana</v>
      </c>
      <c r="C330" s="1" t="str">
        <f ca="1">IFERROR(__xludf.DUMMYFUNCTION("""COMPUTED_VALUE"""),"Textile Technology( Knitting)")</f>
        <v>Textile Technology( Knitting)</v>
      </c>
      <c r="D330" s="1" t="str">
        <f ca="1">IFERROR(__xludf.DUMMYFUNCTION("""COMPUTED_VALUE"""),"Sh Naresh Kumar")</f>
        <v>Sh Naresh Kumar</v>
      </c>
      <c r="E330" s="1" t="str">
        <f ca="1">IFERROR(__xludf.DUMMYFUNCTION("""COMPUTED_VALUE"""),"Lecturer")</f>
        <v>Lecturer</v>
      </c>
      <c r="F330" s="1" t="str">
        <f ca="1">IFERROR(__xludf.DUMMYFUNCTION("""COMPUTED_VALUE"""),"walyatnaresh@gmail.com")</f>
        <v>walyatnaresh@gmail.com</v>
      </c>
      <c r="G330" s="1">
        <f ca="1">IFERROR(__xludf.DUMMYFUNCTION("""COMPUTED_VALUE"""),9855022512)</f>
        <v>9855022512</v>
      </c>
    </row>
    <row r="331" spans="1:7" x14ac:dyDescent="0.3">
      <c r="A331" s="1" t="str">
        <f ca="1">IFERROR(__xludf.DUMMYFUNCTION("""COMPUTED_VALUE"""),"GITCKT, Ludhiana")</f>
        <v>GITCKT, Ludhiana</v>
      </c>
      <c r="B331" s="1" t="str">
        <f ca="1">IFERROR(__xludf.DUMMYFUNCTION("""COMPUTED_VALUE"""),"Ludhiana")</f>
        <v>Ludhiana</v>
      </c>
      <c r="C331" s="1" t="str">
        <f ca="1">IFERROR(__xludf.DUMMYFUNCTION("""COMPUTED_VALUE"""),"Workshop")</f>
        <v>Workshop</v>
      </c>
      <c r="D331" s="1" t="str">
        <f ca="1">IFERROR(__xludf.DUMMYFUNCTION("""COMPUTED_VALUE"""),"Sh. Jaspal Singh")</f>
        <v>Sh. Jaspal Singh</v>
      </c>
      <c r="E331" s="1" t="str">
        <f ca="1">IFERROR(__xludf.DUMMYFUNCTION("""COMPUTED_VALUE"""),"Foreman Instructor")</f>
        <v>Foreman Instructor</v>
      </c>
      <c r="F331" s="1" t="str">
        <f ca="1">IFERROR(__xludf.DUMMYFUNCTION("""COMPUTED_VALUE"""),"jaspalsinghasr2015@gmail.com")</f>
        <v>jaspalsinghasr2015@gmail.com</v>
      </c>
      <c r="G331" s="1">
        <f ca="1">IFERROR(__xludf.DUMMYFUNCTION("""COMPUTED_VALUE"""),9464227975)</f>
        <v>9464227975</v>
      </c>
    </row>
    <row r="332" spans="1:7" x14ac:dyDescent="0.3">
      <c r="A332" s="1" t="str">
        <f ca="1">IFERROR(__xludf.DUMMYFUNCTION("""COMPUTED_VALUE"""),"GITCKT, Ludhiana")</f>
        <v>GITCKT, Ludhiana</v>
      </c>
      <c r="B332" s="1" t="str">
        <f ca="1">IFERROR(__xludf.DUMMYFUNCTION("""COMPUTED_VALUE"""),"Ludhiana")</f>
        <v>Ludhiana</v>
      </c>
      <c r="C332" s="1" t="str">
        <f ca="1">IFERROR(__xludf.DUMMYFUNCTION("""COMPUTED_VALUE"""),"Textile Processing")</f>
        <v>Textile Processing</v>
      </c>
      <c r="D332" s="1" t="str">
        <f ca="1">IFERROR(__xludf.DUMMYFUNCTION("""COMPUTED_VALUE"""),"Sh.Pankaj Sharma")</f>
        <v>Sh.Pankaj Sharma</v>
      </c>
      <c r="E332" s="1" t="str">
        <f ca="1">IFERROR(__xludf.DUMMYFUNCTION("""COMPUTED_VALUE"""),"Lecturer")</f>
        <v>Lecturer</v>
      </c>
      <c r="F332" s="1" t="str">
        <f ca="1">IFERROR(__xludf.DUMMYFUNCTION("""COMPUTED_VALUE"""),"srspankajsharma@gmail.com")</f>
        <v>srspankajsharma@gmail.com</v>
      </c>
      <c r="G332" s="1">
        <f ca="1">IFERROR(__xludf.DUMMYFUNCTION("""COMPUTED_VALUE"""),9417751919)</f>
        <v>9417751919</v>
      </c>
    </row>
    <row r="333" spans="1:7" x14ac:dyDescent="0.3">
      <c r="A333" s="1" t="str">
        <f ca="1">IFERROR(__xludf.DUMMYFUNCTION("""COMPUTED_VALUE"""),"GITCKT, Ludhiana")</f>
        <v>GITCKT, Ludhiana</v>
      </c>
      <c r="B333" s="1" t="str">
        <f ca="1">IFERROR(__xludf.DUMMYFUNCTION("""COMPUTED_VALUE"""),"Ludhiana")</f>
        <v>Ludhiana</v>
      </c>
      <c r="C333" s="1" t="str">
        <f ca="1">IFERROR(__xludf.DUMMYFUNCTION("""COMPUTED_VALUE"""),"Textile Processing")</f>
        <v>Textile Processing</v>
      </c>
      <c r="D333" s="1" t="str">
        <f ca="1">IFERROR(__xludf.DUMMYFUNCTION("""COMPUTED_VALUE"""),"Sh.Parveen Randev")</f>
        <v>Sh.Parveen Randev</v>
      </c>
      <c r="E333" s="1" t="str">
        <f ca="1">IFERROR(__xludf.DUMMYFUNCTION("""COMPUTED_VALUE"""),"Sr. Lecturer")</f>
        <v>Sr. Lecturer</v>
      </c>
      <c r="F333" s="1" t="str">
        <f ca="1">IFERROR(__xludf.DUMMYFUNCTION("""COMPUTED_VALUE"""),"parveen.randev@gmail.com")</f>
        <v>parveen.randev@gmail.com</v>
      </c>
      <c r="G333" s="1">
        <f ca="1">IFERROR(__xludf.DUMMYFUNCTION("""COMPUTED_VALUE"""),9814021574)</f>
        <v>9814021574</v>
      </c>
    </row>
    <row r="334" spans="1:7" x14ac:dyDescent="0.3">
      <c r="A334" s="1" t="str">
        <f ca="1">IFERROR(__xludf.DUMMYFUNCTION("""COMPUTED_VALUE"""),"SRS Govt. Polytechnic college Ludhiana")</f>
        <v>SRS Govt. Polytechnic college Ludhiana</v>
      </c>
      <c r="B334" s="1" t="str">
        <f ca="1">IFERROR(__xludf.DUMMYFUNCTION("""COMPUTED_VALUE"""),"Ludhiana")</f>
        <v>Ludhiana</v>
      </c>
      <c r="C334" s="1" t="str">
        <f ca="1">IFERROR(__xludf.DUMMYFUNCTION("""COMPUTED_VALUE"""),"Principal")</f>
        <v>Principal</v>
      </c>
      <c r="D334" s="1" t="str">
        <f ca="1">IFERROR(__xludf.DUMMYFUNCTION("""COMPUTED_VALUE"""),"Sh Manoj Kumar Jambla")</f>
        <v>Sh Manoj Kumar Jambla</v>
      </c>
      <c r="E334" s="1" t="str">
        <f ca="1">IFERROR(__xludf.DUMMYFUNCTION("""COMPUTED_VALUE"""),"Principal")</f>
        <v>Principal</v>
      </c>
      <c r="F334" s="1" t="str">
        <f ca="1">IFERROR(__xludf.DUMMYFUNCTION("""COMPUTED_VALUE"""),"manojambla@gmail.com")</f>
        <v>manojambla@gmail.com</v>
      </c>
      <c r="G334" s="1">
        <f ca="1">IFERROR(__xludf.DUMMYFUNCTION("""COMPUTED_VALUE"""),9914136677)</f>
        <v>9914136677</v>
      </c>
    </row>
    <row r="335" spans="1:7" x14ac:dyDescent="0.3">
      <c r="A335" s="1" t="str">
        <f ca="1">IFERROR(__xludf.DUMMYFUNCTION("""COMPUTED_VALUE"""),"SRS Govt. Polytechnic college Ludhiana")</f>
        <v>SRS Govt. Polytechnic college Ludhiana</v>
      </c>
      <c r="B335" s="1" t="str">
        <f ca="1">IFERROR(__xludf.DUMMYFUNCTION("""COMPUTED_VALUE"""),"Ludhiana")</f>
        <v>Ludhiana</v>
      </c>
      <c r="C335" s="1" t="str">
        <f ca="1">IFERROR(__xludf.DUMMYFUNCTION("""COMPUTED_VALUE"""),"Garment Manufacturing Technology")</f>
        <v>Garment Manufacturing Technology</v>
      </c>
      <c r="D335" s="1" t="str">
        <f ca="1">IFERROR(__xludf.DUMMYFUNCTION("""COMPUTED_VALUE"""),"Mrs Jaspreet kaur")</f>
        <v>Mrs Jaspreet kaur</v>
      </c>
      <c r="E335" s="1" t="str">
        <f ca="1">IFERROR(__xludf.DUMMYFUNCTION("""COMPUTED_VALUE"""),"HOD")</f>
        <v>HOD</v>
      </c>
      <c r="F335" s="1" t="str">
        <f ca="1">IFERROR(__xludf.DUMMYFUNCTION("""COMPUTED_VALUE"""),"Jannat1901@gmail.com")</f>
        <v>Jannat1901@gmail.com</v>
      </c>
      <c r="G335" s="1">
        <f ca="1">IFERROR(__xludf.DUMMYFUNCTION("""COMPUTED_VALUE"""),9814111606)</f>
        <v>9814111606</v>
      </c>
    </row>
    <row r="336" spans="1:7" x14ac:dyDescent="0.3">
      <c r="A336" s="1" t="str">
        <f ca="1">IFERROR(__xludf.DUMMYFUNCTION("""COMPUTED_VALUE"""),"SRS Govt. Polytechnic college Ludhiana")</f>
        <v>SRS Govt. Polytechnic college Ludhiana</v>
      </c>
      <c r="B336" s="1" t="str">
        <f ca="1">IFERROR(__xludf.DUMMYFUNCTION("""COMPUTED_VALUE"""),"Ludhiana")</f>
        <v>Ludhiana</v>
      </c>
      <c r="C336" s="1" t="str">
        <f ca="1">IFERROR(__xludf.DUMMYFUNCTION("""COMPUTED_VALUE"""),"Electronics and Communications Engineering")</f>
        <v>Electronics and Communications Engineering</v>
      </c>
      <c r="D336" s="1" t="str">
        <f ca="1">IFERROR(__xludf.DUMMYFUNCTION("""COMPUTED_VALUE"""),"Sh Sukhwinderpal Singh")</f>
        <v>Sh Sukhwinderpal Singh</v>
      </c>
      <c r="E336" s="1" t="str">
        <f ca="1">IFERROR(__xludf.DUMMYFUNCTION("""COMPUTED_VALUE"""),"HOD")</f>
        <v>HOD</v>
      </c>
      <c r="F336" s="1" t="str">
        <f ca="1">IFERROR(__xludf.DUMMYFUNCTION("""COMPUTED_VALUE"""),"s_p_singh@rediff.com")</f>
        <v>s_p_singh@rediff.com</v>
      </c>
      <c r="G336" s="1">
        <f ca="1">IFERROR(__xludf.DUMMYFUNCTION("""COMPUTED_VALUE"""),9814177826)</f>
        <v>9814177826</v>
      </c>
    </row>
    <row r="337" spans="1:7" x14ac:dyDescent="0.3">
      <c r="A337" s="1" t="str">
        <f ca="1">IFERROR(__xludf.DUMMYFUNCTION("""COMPUTED_VALUE"""),"SRS Govt. Polytechnic college Ludhiana")</f>
        <v>SRS Govt. Polytechnic college Ludhiana</v>
      </c>
      <c r="B337" s="1" t="str">
        <f ca="1">IFERROR(__xludf.DUMMYFUNCTION("""COMPUTED_VALUE"""),"Ludhiana")</f>
        <v>Ludhiana</v>
      </c>
      <c r="C337" s="1" t="str">
        <f ca="1">IFERROR(__xludf.DUMMYFUNCTION("""COMPUTED_VALUE"""),"Computer Science and Engineering")</f>
        <v>Computer Science and Engineering</v>
      </c>
      <c r="D337" s="1" t="str">
        <f ca="1">IFERROR(__xludf.DUMMYFUNCTION("""COMPUTED_VALUE"""),"Sh Kulwinder Singh")</f>
        <v>Sh Kulwinder Singh</v>
      </c>
      <c r="E337" s="1" t="str">
        <f ca="1">IFERROR(__xludf.DUMMYFUNCTION("""COMPUTED_VALUE"""),"HOD")</f>
        <v>HOD</v>
      </c>
      <c r="F337" s="1" t="str">
        <f ca="1">IFERROR(__xludf.DUMMYFUNCTION("""COMPUTED_VALUE"""),"kscompdeptt@gmail.com")</f>
        <v>kscompdeptt@gmail.com</v>
      </c>
      <c r="G337" s="1">
        <f ca="1">IFERROR(__xludf.DUMMYFUNCTION("""COMPUTED_VALUE"""),9814709893)</f>
        <v>9814709893</v>
      </c>
    </row>
    <row r="338" spans="1:7" x14ac:dyDescent="0.3">
      <c r="A338" s="1" t="str">
        <f ca="1">IFERROR(__xludf.DUMMYFUNCTION("""COMPUTED_VALUE"""),"SRS Govt. Polytechnic college Ludhiana")</f>
        <v>SRS Govt. Polytechnic college Ludhiana</v>
      </c>
      <c r="B338" s="1" t="str">
        <f ca="1">IFERROR(__xludf.DUMMYFUNCTION("""COMPUTED_VALUE"""),"Ludhiana")</f>
        <v>Ludhiana</v>
      </c>
      <c r="C338" s="1" t="str">
        <f ca="1">IFERROR(__xludf.DUMMYFUNCTION("""COMPUTED_VALUE"""),"Applied Science")</f>
        <v>Applied Science</v>
      </c>
      <c r="D338" s="1" t="str">
        <f ca="1">IFERROR(__xludf.DUMMYFUNCTION("""COMPUTED_VALUE"""),"Mrs Rupinder kaur")</f>
        <v>Mrs Rupinder kaur</v>
      </c>
      <c r="E338" s="1" t="str">
        <f ca="1">IFERROR(__xludf.DUMMYFUNCTION("""COMPUTED_VALUE"""),"HOD")</f>
        <v>HOD</v>
      </c>
      <c r="F338" s="1" t="str">
        <f ca="1">IFERROR(__xludf.DUMMYFUNCTION("""COMPUTED_VALUE"""),"kroop737@gmail.com ")</f>
        <v xml:space="preserve">kroop737@gmail.com </v>
      </c>
      <c r="G338" s="1">
        <f ca="1">IFERROR(__xludf.DUMMYFUNCTION("""COMPUTED_VALUE"""),9646181800)</f>
        <v>9646181800</v>
      </c>
    </row>
    <row r="339" spans="1:7" x14ac:dyDescent="0.3">
      <c r="A339" s="1" t="str">
        <f ca="1">IFERROR(__xludf.DUMMYFUNCTION("""COMPUTED_VALUE"""),"SRS Govt. Polytechnic college Ludhiana")</f>
        <v>SRS Govt. Polytechnic college Ludhiana</v>
      </c>
      <c r="B339" s="1" t="str">
        <f ca="1">IFERROR(__xludf.DUMMYFUNCTION("""COMPUTED_VALUE"""),"Ludhiana")</f>
        <v>Ludhiana</v>
      </c>
      <c r="C339" s="1" t="str">
        <f ca="1">IFERROR(__xludf.DUMMYFUNCTION("""COMPUTED_VALUE"""),"Applied Science")</f>
        <v>Applied Science</v>
      </c>
      <c r="D339" s="1" t="str">
        <f ca="1">IFERROR(__xludf.DUMMYFUNCTION("""COMPUTED_VALUE"""),"Mrs Sonia Gulati")</f>
        <v>Mrs Sonia Gulati</v>
      </c>
      <c r="E339" s="1" t="str">
        <f ca="1">IFERROR(__xludf.DUMMYFUNCTION("""COMPUTED_VALUE"""),"Sr. Lecturer")</f>
        <v>Sr. Lecturer</v>
      </c>
      <c r="F339" s="1" t="str">
        <f ca="1">IFERROR(__xludf.DUMMYFUNCTION("""COMPUTED_VALUE"""),"gulatisonia37@gmail.com")</f>
        <v>gulatisonia37@gmail.com</v>
      </c>
      <c r="G339" s="1">
        <f ca="1">IFERROR(__xludf.DUMMYFUNCTION("""COMPUTED_VALUE"""),99148535115)</f>
        <v>99148535115</v>
      </c>
    </row>
    <row r="340" spans="1:7" x14ac:dyDescent="0.3">
      <c r="A340" s="1" t="str">
        <f ca="1">IFERROR(__xludf.DUMMYFUNCTION("""COMPUTED_VALUE"""),"SRS Govt. Polytechnic college Ludhiana")</f>
        <v>SRS Govt. Polytechnic college Ludhiana</v>
      </c>
      <c r="B340" s="1" t="str">
        <f ca="1">IFERROR(__xludf.DUMMYFUNCTION("""COMPUTED_VALUE"""),"Ludhiana")</f>
        <v>Ludhiana</v>
      </c>
      <c r="C340" s="1" t="str">
        <f ca="1">IFERROR(__xludf.DUMMYFUNCTION("""COMPUTED_VALUE"""),"Applied Science")</f>
        <v>Applied Science</v>
      </c>
      <c r="D340" s="1" t="str">
        <f ca="1">IFERROR(__xludf.DUMMYFUNCTION("""COMPUTED_VALUE"""),"Mrs Rekha Gupta")</f>
        <v>Mrs Rekha Gupta</v>
      </c>
      <c r="E340" s="1" t="str">
        <f ca="1">IFERROR(__xludf.DUMMYFUNCTION("""COMPUTED_VALUE"""),"Sr. Lecturer")</f>
        <v>Sr. Lecturer</v>
      </c>
      <c r="F340" s="1" t="str">
        <f ca="1">IFERROR(__xludf.DUMMYFUNCTION("""COMPUTED_VALUE"""),"rekhagupta069@gmail.com")</f>
        <v>rekhagupta069@gmail.com</v>
      </c>
      <c r="G340" s="1">
        <f ca="1">IFERROR(__xludf.DUMMYFUNCTION("""COMPUTED_VALUE"""),9463548211)</f>
        <v>9463548211</v>
      </c>
    </row>
    <row r="341" spans="1:7" x14ac:dyDescent="0.3">
      <c r="A341" s="1" t="str">
        <f ca="1">IFERROR(__xludf.DUMMYFUNCTION("""COMPUTED_VALUE"""),"SRS Govt. Polytechnic college Ludhiana")</f>
        <v>SRS Govt. Polytechnic college Ludhiana</v>
      </c>
      <c r="B341" s="1" t="str">
        <f ca="1">IFERROR(__xludf.DUMMYFUNCTION("""COMPUTED_VALUE"""),"Ludhiana")</f>
        <v>Ludhiana</v>
      </c>
      <c r="C341" s="1" t="str">
        <f ca="1">IFERROR(__xludf.DUMMYFUNCTION("""COMPUTED_VALUE"""),"Applied Science")</f>
        <v>Applied Science</v>
      </c>
      <c r="D341" s="1" t="str">
        <f ca="1">IFERROR(__xludf.DUMMYFUNCTION("""COMPUTED_VALUE"""),"Mrs Pooja Bhanot")</f>
        <v>Mrs Pooja Bhanot</v>
      </c>
      <c r="E341" s="1" t="str">
        <f ca="1">IFERROR(__xludf.DUMMYFUNCTION("""COMPUTED_VALUE"""),"Lecturer")</f>
        <v>Lecturer</v>
      </c>
      <c r="F341" s="1" t="str">
        <f ca="1">IFERROR(__xludf.DUMMYFUNCTION("""COMPUTED_VALUE"""),"poojabhanot03@gmail.com")</f>
        <v>poojabhanot03@gmail.com</v>
      </c>
      <c r="G341" s="1">
        <f ca="1">IFERROR(__xludf.DUMMYFUNCTION("""COMPUTED_VALUE"""),9463762882)</f>
        <v>9463762882</v>
      </c>
    </row>
    <row r="342" spans="1:7" x14ac:dyDescent="0.3">
      <c r="A342" s="1" t="str">
        <f ca="1">IFERROR(__xludf.DUMMYFUNCTION("""COMPUTED_VALUE"""),"SRS Govt. Polytechnic college Ludhiana")</f>
        <v>SRS Govt. Polytechnic college Ludhiana</v>
      </c>
      <c r="B342" s="1" t="str">
        <f ca="1">IFERROR(__xludf.DUMMYFUNCTION("""COMPUTED_VALUE"""),"Ludhiana")</f>
        <v>Ludhiana</v>
      </c>
      <c r="C342" s="1" t="str">
        <f ca="1">IFERROR(__xludf.DUMMYFUNCTION("""COMPUTED_VALUE"""),"Applied Science")</f>
        <v>Applied Science</v>
      </c>
      <c r="D342" s="1" t="str">
        <f ca="1">IFERROR(__xludf.DUMMYFUNCTION("""COMPUTED_VALUE"""),"Sh Gurpreet Singh")</f>
        <v>Sh Gurpreet Singh</v>
      </c>
      <c r="E342" s="1" t="str">
        <f ca="1">IFERROR(__xludf.DUMMYFUNCTION("""COMPUTED_VALUE"""),"Lecturer")</f>
        <v>Lecturer</v>
      </c>
      <c r="F342" s="1" t="str">
        <f ca="1">IFERROR(__xludf.DUMMYFUNCTION("""COMPUTED_VALUE"""),"singhgurpreetphy@gmail.com")</f>
        <v>singhgurpreetphy@gmail.com</v>
      </c>
      <c r="G342" s="1">
        <f ca="1">IFERROR(__xludf.DUMMYFUNCTION("""COMPUTED_VALUE"""),9988706909)</f>
        <v>9988706909</v>
      </c>
    </row>
    <row r="343" spans="1:7" x14ac:dyDescent="0.3">
      <c r="A343" s="1" t="str">
        <f ca="1">IFERROR(__xludf.DUMMYFUNCTION("""COMPUTED_VALUE"""),"SRS Govt. Polytechnic college Ludhiana")</f>
        <v>SRS Govt. Polytechnic college Ludhiana</v>
      </c>
      <c r="B343" s="1" t="str">
        <f ca="1">IFERROR(__xludf.DUMMYFUNCTION("""COMPUTED_VALUE"""),"Ludhiana")</f>
        <v>Ludhiana</v>
      </c>
      <c r="C343" s="1" t="str">
        <f ca="1">IFERROR(__xludf.DUMMYFUNCTION("""COMPUTED_VALUE"""),"Information Technology")</f>
        <v>Information Technology</v>
      </c>
      <c r="D343" s="1" t="str">
        <f ca="1">IFERROR(__xludf.DUMMYFUNCTION("""COMPUTED_VALUE"""),"Sh Lakhbir Singh")</f>
        <v>Sh Lakhbir Singh</v>
      </c>
      <c r="E343" s="1" t="str">
        <f ca="1">IFERROR(__xludf.DUMMYFUNCTION("""COMPUTED_VALUE"""),"Sr. Lecturer")</f>
        <v>Sr. Lecturer</v>
      </c>
      <c r="F343" s="1" t="str">
        <f ca="1">IFERROR(__xludf.DUMMYFUNCTION("""COMPUTED_VALUE"""),"lkhbrgharu@gmail.com")</f>
        <v>lkhbrgharu@gmail.com</v>
      </c>
      <c r="G343" s="1">
        <f ca="1">IFERROR(__xludf.DUMMYFUNCTION("""COMPUTED_VALUE"""),8146550321)</f>
        <v>8146550321</v>
      </c>
    </row>
    <row r="344" spans="1:7" x14ac:dyDescent="0.3">
      <c r="A344" s="1" t="str">
        <f ca="1">IFERROR(__xludf.DUMMYFUNCTION("""COMPUTED_VALUE"""),"SRS Govt. Polytechnic college Ludhiana")</f>
        <v>SRS Govt. Polytechnic college Ludhiana</v>
      </c>
      <c r="B344" s="1" t="str">
        <f ca="1">IFERROR(__xludf.DUMMYFUNCTION("""COMPUTED_VALUE"""),"Ludhiana")</f>
        <v>Ludhiana</v>
      </c>
      <c r="C344" s="1" t="str">
        <f ca="1">IFERROR(__xludf.DUMMYFUNCTION("""COMPUTED_VALUE"""),"Information Technology")</f>
        <v>Information Technology</v>
      </c>
      <c r="D344" s="1" t="str">
        <f ca="1">IFERROR(__xludf.DUMMYFUNCTION("""COMPUTED_VALUE"""),"Mr Agam Gupta")</f>
        <v>Mr Agam Gupta</v>
      </c>
      <c r="E344" s="1" t="str">
        <f ca="1">IFERROR(__xludf.DUMMYFUNCTION("""COMPUTED_VALUE"""),"Lecturer")</f>
        <v>Lecturer</v>
      </c>
      <c r="F344" s="1" t="str">
        <f ca="1">IFERROR(__xludf.DUMMYFUNCTION("""COMPUTED_VALUE"""),"agamgupta.90@gmail.com")</f>
        <v>agamgupta.90@gmail.com</v>
      </c>
      <c r="G344" s="1">
        <f ca="1">IFERROR(__xludf.DUMMYFUNCTION("""COMPUTED_VALUE"""),9888702690)</f>
        <v>9888702690</v>
      </c>
    </row>
    <row r="345" spans="1:7" x14ac:dyDescent="0.3">
      <c r="A345" s="1" t="str">
        <f ca="1">IFERROR(__xludf.DUMMYFUNCTION("""COMPUTED_VALUE"""),"SRS Govt. Polytechnic college Ludhiana")</f>
        <v>SRS Govt. Polytechnic college Ludhiana</v>
      </c>
      <c r="B345" s="1" t="str">
        <f ca="1">IFERROR(__xludf.DUMMYFUNCTION("""COMPUTED_VALUE"""),"Ludhiana")</f>
        <v>Ludhiana</v>
      </c>
      <c r="C345" s="1" t="str">
        <f ca="1">IFERROR(__xludf.DUMMYFUNCTION("""COMPUTED_VALUE"""),"Information Technology")</f>
        <v>Information Technology</v>
      </c>
      <c r="D345" s="1" t="str">
        <f ca="1">IFERROR(__xludf.DUMMYFUNCTION("""COMPUTED_VALUE"""),"Mrs Gurpreet Kour")</f>
        <v>Mrs Gurpreet Kour</v>
      </c>
      <c r="E345" s="1" t="str">
        <f ca="1">IFERROR(__xludf.DUMMYFUNCTION("""COMPUTED_VALUE"""),"Lecturer")</f>
        <v>Lecturer</v>
      </c>
      <c r="F345" s="1" t="str">
        <f ca="1">IFERROR(__xludf.DUMMYFUNCTION("""COMPUTED_VALUE"""),"gurpreetkour2016@gmail.com")</f>
        <v>gurpreetkour2016@gmail.com</v>
      </c>
      <c r="G345" s="1">
        <f ca="1">IFERROR(__xludf.DUMMYFUNCTION("""COMPUTED_VALUE"""),8758000024)</f>
        <v>8758000024</v>
      </c>
    </row>
    <row r="346" spans="1:7" x14ac:dyDescent="0.3">
      <c r="A346" s="1" t="str">
        <f ca="1">IFERROR(__xludf.DUMMYFUNCTION("""COMPUTED_VALUE"""),"SRS Govt. Polytechnic college Ludhiana")</f>
        <v>SRS Govt. Polytechnic college Ludhiana</v>
      </c>
      <c r="B346" s="1" t="str">
        <f ca="1">IFERROR(__xludf.DUMMYFUNCTION("""COMPUTED_VALUE"""),"Ludhiana")</f>
        <v>Ludhiana</v>
      </c>
      <c r="C346" s="1" t="str">
        <f ca="1">IFERROR(__xludf.DUMMYFUNCTION("""COMPUTED_VALUE"""),"Information Technology")</f>
        <v>Information Technology</v>
      </c>
      <c r="D346" s="1" t="str">
        <f ca="1">IFERROR(__xludf.DUMMYFUNCTION("""COMPUTED_VALUE"""),"Mrs Roopam Matharu")</f>
        <v>Mrs Roopam Matharu</v>
      </c>
      <c r="E346" s="1" t="str">
        <f ca="1">IFERROR(__xludf.DUMMYFUNCTION("""COMPUTED_VALUE"""),"Lecturer")</f>
        <v>Lecturer</v>
      </c>
      <c r="F346" s="1" t="str">
        <f ca="1">IFERROR(__xludf.DUMMYFUNCTION("""COMPUTED_VALUE"""),"roopam_matharu@yahoo.co.in")</f>
        <v>roopam_matharu@yahoo.co.in</v>
      </c>
      <c r="G346" s="1">
        <f ca="1">IFERROR(__xludf.DUMMYFUNCTION("""COMPUTED_VALUE"""),9878600918)</f>
        <v>9878600918</v>
      </c>
    </row>
    <row r="347" spans="1:7" x14ac:dyDescent="0.3">
      <c r="A347" s="1" t="str">
        <f ca="1">IFERROR(__xludf.DUMMYFUNCTION("""COMPUTED_VALUE"""),"SRS Govt. Polytechnic college Ludhiana")</f>
        <v>SRS Govt. Polytechnic college Ludhiana</v>
      </c>
      <c r="B347" s="1" t="str">
        <f ca="1">IFERROR(__xludf.DUMMYFUNCTION("""COMPUTED_VALUE"""),"Ludhiana")</f>
        <v>Ludhiana</v>
      </c>
      <c r="C347" s="1" t="str">
        <f ca="1">IFERROR(__xludf.DUMMYFUNCTION("""COMPUTED_VALUE"""),"Information Technology")</f>
        <v>Information Technology</v>
      </c>
      <c r="D347" s="1" t="str">
        <f ca="1">IFERROR(__xludf.DUMMYFUNCTION("""COMPUTED_VALUE"""),"Mrs Manpreet Kaur")</f>
        <v>Mrs Manpreet Kaur</v>
      </c>
      <c r="E347" s="1" t="str">
        <f ca="1">IFERROR(__xludf.DUMMYFUNCTION("""COMPUTED_VALUE"""),"Lecturer")</f>
        <v>Lecturer</v>
      </c>
      <c r="F347" s="1" t="str">
        <f ca="1">IFERROR(__xludf.DUMMYFUNCTION("""COMPUTED_VALUE"""),"grewal.manu@gmail.com")</f>
        <v>grewal.manu@gmail.com</v>
      </c>
      <c r="G347" s="1">
        <f ca="1">IFERROR(__xludf.DUMMYFUNCTION("""COMPUTED_VALUE"""),9779430336)</f>
        <v>9779430336</v>
      </c>
    </row>
    <row r="348" spans="1:7" x14ac:dyDescent="0.3">
      <c r="A348" s="1" t="str">
        <f ca="1">IFERROR(__xludf.DUMMYFUNCTION("""COMPUTED_VALUE"""),"SRS Govt. Polytechnic college Ludhiana")</f>
        <v>SRS Govt. Polytechnic college Ludhiana</v>
      </c>
      <c r="B348" s="1" t="str">
        <f ca="1">IFERROR(__xludf.DUMMYFUNCTION("""COMPUTED_VALUE"""),"Ludhiana")</f>
        <v>Ludhiana</v>
      </c>
      <c r="C348" s="1" t="str">
        <f ca="1">IFERROR(__xludf.DUMMYFUNCTION("""COMPUTED_VALUE"""),"Information Technology")</f>
        <v>Information Technology</v>
      </c>
      <c r="D348" s="1" t="str">
        <f ca="1">IFERROR(__xludf.DUMMYFUNCTION("""COMPUTED_VALUE"""),"Sh Gurjit Singh")</f>
        <v>Sh Gurjit Singh</v>
      </c>
      <c r="E348" s="1" t="str">
        <f ca="1">IFERROR(__xludf.DUMMYFUNCTION("""COMPUTED_VALUE"""),"Lecturer")</f>
        <v>Lecturer</v>
      </c>
      <c r="F348" s="1" t="str">
        <f ca="1">IFERROR(__xludf.DUMMYFUNCTION("""COMPUTED_VALUE"""),"singh181084@gmail.com")</f>
        <v>singh181084@gmail.com</v>
      </c>
      <c r="G348" s="1">
        <f ca="1">IFERROR(__xludf.DUMMYFUNCTION("""COMPUTED_VALUE"""),9914507018)</f>
        <v>9914507018</v>
      </c>
    </row>
    <row r="349" spans="1:7" x14ac:dyDescent="0.3">
      <c r="A349" s="1" t="str">
        <f ca="1">IFERROR(__xludf.DUMMYFUNCTION("""COMPUTED_VALUE"""),"SRS Govt. Polytechnic college Ludhiana")</f>
        <v>SRS Govt. Polytechnic college Ludhiana</v>
      </c>
      <c r="B349" s="1" t="str">
        <f ca="1">IFERROR(__xludf.DUMMYFUNCTION("""COMPUTED_VALUE"""),"Ludhiana")</f>
        <v>Ludhiana</v>
      </c>
      <c r="C349" s="1" t="str">
        <f ca="1">IFERROR(__xludf.DUMMYFUNCTION("""COMPUTED_VALUE"""),"Fashion Design")</f>
        <v>Fashion Design</v>
      </c>
      <c r="D349" s="1" t="str">
        <f ca="1">IFERROR(__xludf.DUMMYFUNCTION("""COMPUTED_VALUE"""),"Mrs Harneet kaur")</f>
        <v>Mrs Harneet kaur</v>
      </c>
      <c r="E349" s="1" t="str">
        <f ca="1">IFERROR(__xludf.DUMMYFUNCTION("""COMPUTED_VALUE"""),"Lecturer")</f>
        <v>Lecturer</v>
      </c>
      <c r="F349" s="1" t="str">
        <f ca="1">IFERROR(__xludf.DUMMYFUNCTION("""COMPUTED_VALUE"""),"harneet.ahuja@yahoo.com")</f>
        <v>harneet.ahuja@yahoo.com</v>
      </c>
      <c r="G349" s="1">
        <f ca="1">IFERROR(__xludf.DUMMYFUNCTION("""COMPUTED_VALUE"""),9781991081)</f>
        <v>9781991081</v>
      </c>
    </row>
    <row r="350" spans="1:7" x14ac:dyDescent="0.3">
      <c r="A350" s="1" t="str">
        <f ca="1">IFERROR(__xludf.DUMMYFUNCTION("""COMPUTED_VALUE"""),"SRS Govt. Polytechnic college Ludhiana")</f>
        <v>SRS Govt. Polytechnic college Ludhiana</v>
      </c>
      <c r="B350" s="1" t="str">
        <f ca="1">IFERROR(__xludf.DUMMYFUNCTION("""COMPUTED_VALUE"""),"Ludhiana")</f>
        <v>Ludhiana</v>
      </c>
      <c r="C350" s="1" t="str">
        <f ca="1">IFERROR(__xludf.DUMMYFUNCTION("""COMPUTED_VALUE"""),"Garment Manufacturing Technology")</f>
        <v>Garment Manufacturing Technology</v>
      </c>
      <c r="D350" s="1" t="str">
        <f ca="1">IFERROR(__xludf.DUMMYFUNCTION("""COMPUTED_VALUE"""),"Mr Pawan Kumar")</f>
        <v>Mr Pawan Kumar</v>
      </c>
      <c r="E350" s="1" t="str">
        <f ca="1">IFERROR(__xludf.DUMMYFUNCTION("""COMPUTED_VALUE"""),"Sr. Lecturer")</f>
        <v>Sr. Lecturer</v>
      </c>
      <c r="F350" s="1" t="str">
        <f ca="1">IFERROR(__xludf.DUMMYFUNCTION("""COMPUTED_VALUE"""),"ttpawan@gmail.com")</f>
        <v>ttpawan@gmail.com</v>
      </c>
      <c r="G350" s="1">
        <f ca="1">IFERROR(__xludf.DUMMYFUNCTION("""COMPUTED_VALUE"""),9478463507)</f>
        <v>9478463507</v>
      </c>
    </row>
    <row r="351" spans="1:7" x14ac:dyDescent="0.3">
      <c r="A351" s="1" t="str">
        <f ca="1">IFERROR(__xludf.DUMMYFUNCTION("""COMPUTED_VALUE"""),"SRS Govt. Polytechnic college Ludhiana")</f>
        <v>SRS Govt. Polytechnic college Ludhiana</v>
      </c>
      <c r="B351" s="1" t="str">
        <f ca="1">IFERROR(__xludf.DUMMYFUNCTION("""COMPUTED_VALUE"""),"Ludhiana")</f>
        <v>Ludhiana</v>
      </c>
      <c r="C351" s="1" t="str">
        <f ca="1">IFERROR(__xludf.DUMMYFUNCTION("""COMPUTED_VALUE"""),"Computer Science and Engineering")</f>
        <v>Computer Science and Engineering</v>
      </c>
      <c r="D351" s="1" t="str">
        <f ca="1">IFERROR(__xludf.DUMMYFUNCTION("""COMPUTED_VALUE"""),"Mrs Kanika Sharma")</f>
        <v>Mrs Kanika Sharma</v>
      </c>
      <c r="E351" s="1" t="str">
        <f ca="1">IFERROR(__xludf.DUMMYFUNCTION("""COMPUTED_VALUE"""),"Lecturer")</f>
        <v>Lecturer</v>
      </c>
      <c r="F351" s="1" t="str">
        <f ca="1">IFERROR(__xludf.DUMMYFUNCTION("""COMPUTED_VALUE"""),"kanika.rieit@gmail.com")</f>
        <v>kanika.rieit@gmail.com</v>
      </c>
      <c r="G351" s="1">
        <f ca="1">IFERROR(__xludf.DUMMYFUNCTION("""COMPUTED_VALUE"""),9463752654)</f>
        <v>9463752654</v>
      </c>
    </row>
    <row r="352" spans="1:7" x14ac:dyDescent="0.3">
      <c r="A352" s="1" t="str">
        <f ca="1">IFERROR(__xludf.DUMMYFUNCTION("""COMPUTED_VALUE"""),"SRS Govt. Polytechnic college Ludhiana")</f>
        <v>SRS Govt. Polytechnic college Ludhiana</v>
      </c>
      <c r="B352" s="1" t="str">
        <f ca="1">IFERROR(__xludf.DUMMYFUNCTION("""COMPUTED_VALUE"""),"Ludhiana")</f>
        <v>Ludhiana</v>
      </c>
      <c r="C352" s="1" t="str">
        <f ca="1">IFERROR(__xludf.DUMMYFUNCTION("""COMPUTED_VALUE"""),"Computer Science and Engineering")</f>
        <v>Computer Science and Engineering</v>
      </c>
      <c r="D352" s="1" t="str">
        <f ca="1">IFERROR(__xludf.DUMMYFUNCTION("""COMPUTED_VALUE"""),"Mrs Navjeet Kaur")</f>
        <v>Mrs Navjeet Kaur</v>
      </c>
      <c r="E352" s="1" t="str">
        <f ca="1">IFERROR(__xludf.DUMMYFUNCTION("""COMPUTED_VALUE"""),"Sr. Lecturer")</f>
        <v>Sr. Lecturer</v>
      </c>
      <c r="F352" s="1" t="str">
        <f ca="1">IFERROR(__xludf.DUMMYFUNCTION("""COMPUTED_VALUE"""),"navjeet.kaur23@gmail.com")</f>
        <v>navjeet.kaur23@gmail.com</v>
      </c>
      <c r="G352" s="1">
        <f ca="1">IFERROR(__xludf.DUMMYFUNCTION("""COMPUTED_VALUE"""),9464686332)</f>
        <v>9464686332</v>
      </c>
    </row>
    <row r="353" spans="1:7" x14ac:dyDescent="0.3">
      <c r="A353" s="1" t="str">
        <f ca="1">IFERROR(__xludf.DUMMYFUNCTION("""COMPUTED_VALUE"""),"SRS Govt. Polytechnic college Ludhiana")</f>
        <v>SRS Govt. Polytechnic college Ludhiana</v>
      </c>
      <c r="B353" s="1" t="str">
        <f ca="1">IFERROR(__xludf.DUMMYFUNCTION("""COMPUTED_VALUE"""),"Ludhiana")</f>
        <v>Ludhiana</v>
      </c>
      <c r="C353" s="1" t="str">
        <f ca="1">IFERROR(__xludf.DUMMYFUNCTION("""COMPUTED_VALUE"""),"Computer Science and Engineering")</f>
        <v>Computer Science and Engineering</v>
      </c>
      <c r="D353" s="1" t="str">
        <f ca="1">IFERROR(__xludf.DUMMYFUNCTION("""COMPUTED_VALUE"""),"Sh Gagandeep Singh")</f>
        <v>Sh Gagandeep Singh</v>
      </c>
      <c r="E353" s="1" t="str">
        <f ca="1">IFERROR(__xludf.DUMMYFUNCTION("""COMPUTED_VALUE"""),"Lecturer")</f>
        <v>Lecturer</v>
      </c>
      <c r="F353" s="1" t="str">
        <f ca="1">IFERROR(__xludf.DUMMYFUNCTION("""COMPUTED_VALUE"""),"gagandeepbenipal@gmail.com")</f>
        <v>gagandeepbenipal@gmail.com</v>
      </c>
      <c r="G353" s="1">
        <f ca="1">IFERROR(__xludf.DUMMYFUNCTION("""COMPUTED_VALUE"""),9560439653)</f>
        <v>9560439653</v>
      </c>
    </row>
    <row r="354" spans="1:7" x14ac:dyDescent="0.3">
      <c r="A354" s="1" t="str">
        <f ca="1">IFERROR(__xludf.DUMMYFUNCTION("""COMPUTED_VALUE"""),"SRS Govt. Polytechnic college Ludhiana")</f>
        <v>SRS Govt. Polytechnic college Ludhiana</v>
      </c>
      <c r="B354" s="1" t="str">
        <f ca="1">IFERROR(__xludf.DUMMYFUNCTION("""COMPUTED_VALUE"""),"Ludhiana")</f>
        <v>Ludhiana</v>
      </c>
      <c r="C354" s="1" t="str">
        <f ca="1">IFERROR(__xludf.DUMMYFUNCTION("""COMPUTED_VALUE"""),"Mechanical Engineering")</f>
        <v>Mechanical Engineering</v>
      </c>
      <c r="D354" s="1" t="str">
        <f ca="1">IFERROR(__xludf.DUMMYFUNCTION("""COMPUTED_VALUE"""),"Mrs Kanu Sharma")</f>
        <v>Mrs Kanu Sharma</v>
      </c>
      <c r="E354" s="1" t="str">
        <f ca="1">IFERROR(__xludf.DUMMYFUNCTION("""COMPUTED_VALUE"""),"Sr. Lecturer")</f>
        <v>Sr. Lecturer</v>
      </c>
      <c r="F354" s="1" t="str">
        <f ca="1">IFERROR(__xludf.DUMMYFUNCTION("""COMPUTED_VALUE"""),"kbsubramanium@gmail.com")</f>
        <v>kbsubramanium@gmail.com</v>
      </c>
      <c r="G354" s="1">
        <f ca="1">IFERROR(__xludf.DUMMYFUNCTION("""COMPUTED_VALUE"""),8283934464)</f>
        <v>8283934464</v>
      </c>
    </row>
    <row r="355" spans="1:7" x14ac:dyDescent="0.3">
      <c r="A355" s="1" t="str">
        <f ca="1">IFERROR(__xludf.DUMMYFUNCTION("""COMPUTED_VALUE"""),"SRS Govt. Polytechnic college Ludhiana")</f>
        <v>SRS Govt. Polytechnic college Ludhiana</v>
      </c>
      <c r="B355" s="1" t="str">
        <f ca="1">IFERROR(__xludf.DUMMYFUNCTION("""COMPUTED_VALUE"""),"Ludhiana")</f>
        <v>Ludhiana</v>
      </c>
      <c r="C355" s="1" t="str">
        <f ca="1">IFERROR(__xludf.DUMMYFUNCTION("""COMPUTED_VALUE"""),"Mechanical Engineering")</f>
        <v>Mechanical Engineering</v>
      </c>
      <c r="D355" s="1" t="str">
        <f ca="1">IFERROR(__xludf.DUMMYFUNCTION("""COMPUTED_VALUE"""),"Sh Satnam Singh Somal")</f>
        <v>Sh Satnam Singh Somal</v>
      </c>
      <c r="E355" s="1" t="str">
        <f ca="1">IFERROR(__xludf.DUMMYFUNCTION("""COMPUTED_VALUE"""),"Lecturer")</f>
        <v>Lecturer</v>
      </c>
      <c r="F355" s="1" t="str">
        <f ca="1">IFERROR(__xludf.DUMMYFUNCTION("""COMPUTED_VALUE"""),"somal7164@gmail.com")</f>
        <v>somal7164@gmail.com</v>
      </c>
      <c r="G355" s="1">
        <f ca="1">IFERROR(__xludf.DUMMYFUNCTION("""COMPUTED_VALUE"""),9878585608)</f>
        <v>9878585608</v>
      </c>
    </row>
    <row r="356" spans="1:7" x14ac:dyDescent="0.3">
      <c r="A356" s="1" t="str">
        <f ca="1">IFERROR(__xludf.DUMMYFUNCTION("""COMPUTED_VALUE"""),"SRS Govt. Polytechnic college Ludhiana")</f>
        <v>SRS Govt. Polytechnic college Ludhiana</v>
      </c>
      <c r="B356" s="1" t="str">
        <f ca="1">IFERROR(__xludf.DUMMYFUNCTION("""COMPUTED_VALUE"""),"Ludhiana")</f>
        <v>Ludhiana</v>
      </c>
      <c r="C356" s="1" t="str">
        <f ca="1">IFERROR(__xludf.DUMMYFUNCTION("""COMPUTED_VALUE"""),"Electronics and Communications Engineering")</f>
        <v>Electronics and Communications Engineering</v>
      </c>
      <c r="D356" s="1" t="str">
        <f ca="1">IFERROR(__xludf.DUMMYFUNCTION("""COMPUTED_VALUE"""),"Mrs Rajni Bhalla")</f>
        <v>Mrs Rajni Bhalla</v>
      </c>
      <c r="E356" s="1" t="str">
        <f ca="1">IFERROR(__xludf.DUMMYFUNCTION("""COMPUTED_VALUE"""),"Sr. Lecturer")</f>
        <v>Sr. Lecturer</v>
      </c>
      <c r="F356" s="1" t="str">
        <f ca="1">IFERROR(__xludf.DUMMYFUNCTION("""COMPUTED_VALUE"""),"rajni_image@yahoo.co.in")</f>
        <v>rajni_image@yahoo.co.in</v>
      </c>
      <c r="G356" s="1">
        <f ca="1">IFERROR(__xludf.DUMMYFUNCTION("""COMPUTED_VALUE"""),9501816900)</f>
        <v>9501816900</v>
      </c>
    </row>
    <row r="357" spans="1:7" x14ac:dyDescent="0.3">
      <c r="A357" s="1" t="str">
        <f ca="1">IFERROR(__xludf.DUMMYFUNCTION("""COMPUTED_VALUE"""),"SRS Govt. Polytechnic college Ludhiana")</f>
        <v>SRS Govt. Polytechnic college Ludhiana</v>
      </c>
      <c r="B357" s="1" t="str">
        <f ca="1">IFERROR(__xludf.DUMMYFUNCTION("""COMPUTED_VALUE"""),"Ludhiana")</f>
        <v>Ludhiana</v>
      </c>
      <c r="C357" s="1" t="str">
        <f ca="1">IFERROR(__xludf.DUMMYFUNCTION("""COMPUTED_VALUE"""),"Electronics and Communications Engineering")</f>
        <v>Electronics and Communications Engineering</v>
      </c>
      <c r="D357" s="1" t="str">
        <f ca="1">IFERROR(__xludf.DUMMYFUNCTION("""COMPUTED_VALUE"""),"Mrs Mandeep Kaur")</f>
        <v>Mrs Mandeep Kaur</v>
      </c>
      <c r="E357" s="1" t="str">
        <f ca="1">IFERROR(__xludf.DUMMYFUNCTION("""COMPUTED_VALUE"""),"Lecturer")</f>
        <v>Lecturer</v>
      </c>
      <c r="F357" s="1" t="str">
        <f ca="1">IFERROR(__xludf.DUMMYFUNCTION("""COMPUTED_VALUE"""),"mandeepbali2509@gmail.com")</f>
        <v>mandeepbali2509@gmail.com</v>
      </c>
      <c r="G357" s="1">
        <f ca="1">IFERROR(__xludf.DUMMYFUNCTION("""COMPUTED_VALUE"""),9041679242)</f>
        <v>9041679242</v>
      </c>
    </row>
    <row r="358" spans="1:7" x14ac:dyDescent="0.3">
      <c r="A358" s="1" t="str">
        <f ca="1">IFERROR(__xludf.DUMMYFUNCTION("""COMPUTED_VALUE"""),"SRS Govt. Polytechnic college Ludhiana")</f>
        <v>SRS Govt. Polytechnic college Ludhiana</v>
      </c>
      <c r="B358" s="1" t="str">
        <f ca="1">IFERROR(__xludf.DUMMYFUNCTION("""COMPUTED_VALUE"""),"Ludhiana")</f>
        <v>Ludhiana</v>
      </c>
      <c r="C358" s="1" t="str">
        <f ca="1">IFERROR(__xludf.DUMMYFUNCTION("""COMPUTED_VALUE"""),"Electronics and Communications Engineering")</f>
        <v>Electronics and Communications Engineering</v>
      </c>
      <c r="D358" s="1" t="str">
        <f ca="1">IFERROR(__xludf.DUMMYFUNCTION("""COMPUTED_VALUE"""),"Mrs Priyanka Rani")</f>
        <v>Mrs Priyanka Rani</v>
      </c>
      <c r="E358" s="1" t="str">
        <f ca="1">IFERROR(__xludf.DUMMYFUNCTION("""COMPUTED_VALUE"""),"Lecturer")</f>
        <v>Lecturer</v>
      </c>
      <c r="F358" s="1" t="str">
        <f ca="1">IFERROR(__xludf.DUMMYFUNCTION("""COMPUTED_VALUE"""),"Priyanka.bansal13oct@gmail.com")</f>
        <v>Priyanka.bansal13oct@gmail.com</v>
      </c>
      <c r="G358" s="1">
        <f ca="1">IFERROR(__xludf.DUMMYFUNCTION("""COMPUTED_VALUE"""),9815091934)</f>
        <v>9815091934</v>
      </c>
    </row>
    <row r="359" spans="1:7" x14ac:dyDescent="0.3">
      <c r="A359" s="1" t="str">
        <f ca="1">IFERROR(__xludf.DUMMYFUNCTION("""COMPUTED_VALUE"""),"SRS Govt. Polytechnic college Ludhiana")</f>
        <v>SRS Govt. Polytechnic college Ludhiana</v>
      </c>
      <c r="B359" s="1" t="str">
        <f ca="1">IFERROR(__xludf.DUMMYFUNCTION("""COMPUTED_VALUE"""),"Ludhiana")</f>
        <v>Ludhiana</v>
      </c>
      <c r="C359" s="1" t="str">
        <f ca="1">IFERROR(__xludf.DUMMYFUNCTION("""COMPUTED_VALUE"""),"Electronics and Communications Engineering")</f>
        <v>Electronics and Communications Engineering</v>
      </c>
      <c r="D359" s="1" t="str">
        <f ca="1">IFERROR(__xludf.DUMMYFUNCTION("""COMPUTED_VALUE"""),"Sh Davinder Singh")</f>
        <v>Sh Davinder Singh</v>
      </c>
      <c r="E359" s="1" t="str">
        <f ca="1">IFERROR(__xludf.DUMMYFUNCTION("""COMPUTED_VALUE"""),"Lecturer")</f>
        <v>Lecturer</v>
      </c>
      <c r="F359" s="1" t="str">
        <f ca="1">IFERROR(__xludf.DUMMYFUNCTION("""COMPUTED_VALUE"""),"dsdavinder1@gmail.com")</f>
        <v>dsdavinder1@gmail.com</v>
      </c>
      <c r="G359" s="1">
        <f ca="1">IFERROR(__xludf.DUMMYFUNCTION("""COMPUTED_VALUE"""),9464612710)</f>
        <v>9464612710</v>
      </c>
    </row>
    <row r="360" spans="1:7" x14ac:dyDescent="0.3">
      <c r="A360" s="1" t="str">
        <f ca="1">IFERROR(__xludf.DUMMYFUNCTION("""COMPUTED_VALUE"""),"SRS Govt. Polytechnic college Ludhiana")</f>
        <v>SRS Govt. Polytechnic college Ludhiana</v>
      </c>
      <c r="B360" s="1" t="str">
        <f ca="1">IFERROR(__xludf.DUMMYFUNCTION("""COMPUTED_VALUE"""),"Ludhiana")</f>
        <v>Ludhiana</v>
      </c>
      <c r="C360" s="1" t="str">
        <f ca="1">IFERROR(__xludf.DUMMYFUNCTION("""COMPUTED_VALUE"""),"Electronics and Communications Engineering")</f>
        <v>Electronics and Communications Engineering</v>
      </c>
      <c r="D360" s="1" t="str">
        <f ca="1">IFERROR(__xludf.DUMMYFUNCTION("""COMPUTED_VALUE"""),"Sh Sanjeev Kumar")</f>
        <v>Sh Sanjeev Kumar</v>
      </c>
      <c r="E360" s="1" t="str">
        <f ca="1">IFERROR(__xludf.DUMMYFUNCTION("""COMPUTED_VALUE"""),"Lecturer")</f>
        <v>Lecturer</v>
      </c>
      <c r="F360" s="1" t="str">
        <f ca="1">IFERROR(__xludf.DUMMYFUNCTION("""COMPUTED_VALUE"""),"Kumar.sandhi@gmail.com")</f>
        <v>Kumar.sandhi@gmail.com</v>
      </c>
      <c r="G360" s="1">
        <f ca="1">IFERROR(__xludf.DUMMYFUNCTION("""COMPUTED_VALUE"""),9463300345)</f>
        <v>9463300345</v>
      </c>
    </row>
    <row r="361" spans="1:7" x14ac:dyDescent="0.3">
      <c r="A361" s="1" t="str">
        <f ca="1">IFERROR(__xludf.DUMMYFUNCTION("""COMPUTED_VALUE"""),"SRS Govt. Polytechnic college Ludhiana")</f>
        <v>SRS Govt. Polytechnic college Ludhiana</v>
      </c>
      <c r="B361" s="1" t="str">
        <f ca="1">IFERROR(__xludf.DUMMYFUNCTION("""COMPUTED_VALUE"""),"Ludhiana")</f>
        <v>Ludhiana</v>
      </c>
      <c r="C361" s="1" t="str">
        <f ca="1">IFERROR(__xludf.DUMMYFUNCTION("""COMPUTED_VALUE"""),"Electrical Engineering")</f>
        <v>Electrical Engineering</v>
      </c>
      <c r="D361" s="1" t="str">
        <f ca="1">IFERROR(__xludf.DUMMYFUNCTION("""COMPUTED_VALUE"""),"Sh Rajwinder singh sidhu")</f>
        <v>Sh Rajwinder singh sidhu</v>
      </c>
      <c r="E361" s="1" t="str">
        <f ca="1">IFERROR(__xludf.DUMMYFUNCTION("""COMPUTED_VALUE"""),"Lecturer")</f>
        <v>Lecturer</v>
      </c>
      <c r="F361" s="1" t="str">
        <f ca="1">IFERROR(__xludf.DUMMYFUNCTION("""COMPUTED_VALUE"""),"rajwindersidhugpc@gmail.com")</f>
        <v>rajwindersidhugpc@gmail.com</v>
      </c>
      <c r="G361" s="1">
        <f ca="1">IFERROR(__xludf.DUMMYFUNCTION("""COMPUTED_VALUE"""),9592507110)</f>
        <v>9592507110</v>
      </c>
    </row>
    <row r="362" spans="1:7" x14ac:dyDescent="0.3">
      <c r="A362" s="1" t="str">
        <f ca="1">IFERROR(__xludf.DUMMYFUNCTION("""COMPUTED_VALUE"""),"SRS Govt. Polytechnic college Ludhiana")</f>
        <v>SRS Govt. Polytechnic college Ludhiana</v>
      </c>
      <c r="B362" s="1" t="str">
        <f ca="1">IFERROR(__xludf.DUMMYFUNCTION("""COMPUTED_VALUE"""),"Ludhiana")</f>
        <v>Ludhiana</v>
      </c>
      <c r="C362" s="1" t="str">
        <f ca="1">IFERROR(__xludf.DUMMYFUNCTION("""COMPUTED_VALUE"""),"Modern Office Practice")</f>
        <v>Modern Office Practice</v>
      </c>
      <c r="D362" s="1" t="str">
        <f ca="1">IFERROR(__xludf.DUMMYFUNCTION("""COMPUTED_VALUE"""),"Mrs Sukhwinder Kaur")</f>
        <v>Mrs Sukhwinder Kaur</v>
      </c>
      <c r="E362" s="1" t="str">
        <f ca="1">IFERROR(__xludf.DUMMYFUNCTION("""COMPUTED_VALUE"""),"Lecturer")</f>
        <v>Lecturer</v>
      </c>
      <c r="F362" s="1" t="str">
        <f ca="1">IFERROR(__xludf.DUMMYFUNCTION("""COMPUTED_VALUE"""),"sukhwinderk2281972@gmail.com")</f>
        <v>sukhwinderk2281972@gmail.com</v>
      </c>
      <c r="G362" s="1">
        <f ca="1">IFERROR(__xludf.DUMMYFUNCTION("""COMPUTED_VALUE"""),9478621794)</f>
        <v>9478621794</v>
      </c>
    </row>
    <row r="363" spans="1:7" x14ac:dyDescent="0.3">
      <c r="A363" s="1" t="str">
        <f ca="1">IFERROR(__xludf.DUMMYFUNCTION("""COMPUTED_VALUE"""),"SRS Govt. Polytechnic college Ludhiana")</f>
        <v>SRS Govt. Polytechnic college Ludhiana</v>
      </c>
      <c r="B363" s="1" t="str">
        <f ca="1">IFERROR(__xludf.DUMMYFUNCTION("""COMPUTED_VALUE"""),"Ludhiana")</f>
        <v>Ludhiana</v>
      </c>
      <c r="C363" s="1" t="str">
        <f ca="1">IFERROR(__xludf.DUMMYFUNCTION("""COMPUTED_VALUE"""),"Modern Office Practice")</f>
        <v>Modern Office Practice</v>
      </c>
      <c r="D363" s="1" t="str">
        <f ca="1">IFERROR(__xludf.DUMMYFUNCTION("""COMPUTED_VALUE"""),"Sh Devinder kumar")</f>
        <v>Sh Devinder kumar</v>
      </c>
      <c r="E363" s="1" t="str">
        <f ca="1">IFERROR(__xludf.DUMMYFUNCTION("""COMPUTED_VALUE"""),"Lecturer")</f>
        <v>Lecturer</v>
      </c>
      <c r="F363" s="1" t="str">
        <f ca="1">IFERROR(__xludf.DUMMYFUNCTION("""COMPUTED_VALUE"""),"dkbnl72@gmail.com")</f>
        <v>dkbnl72@gmail.com</v>
      </c>
      <c r="G363" s="1">
        <f ca="1">IFERROR(__xludf.DUMMYFUNCTION("""COMPUTED_VALUE"""),9465616090)</f>
        <v>9465616090</v>
      </c>
    </row>
    <row r="364" spans="1:7" x14ac:dyDescent="0.3">
      <c r="A364" s="1" t="str">
        <f ca="1">IFERROR(__xludf.DUMMYFUNCTION("""COMPUTED_VALUE"""),"Government Polytechnic College, Bareta")</f>
        <v>Government Polytechnic College, Bareta</v>
      </c>
      <c r="B364" s="1" t="str">
        <f ca="1">IFERROR(__xludf.DUMMYFUNCTION("""COMPUTED_VALUE"""),"Mansa")</f>
        <v>Mansa</v>
      </c>
      <c r="C364" s="1" t="str">
        <f ca="1">IFERROR(__xludf.DUMMYFUNCTION("""COMPUTED_VALUE"""),"Mechanical Engineering")</f>
        <v>Mechanical Engineering</v>
      </c>
      <c r="D364" s="1" t="str">
        <f ca="1">IFERROR(__xludf.DUMMYFUNCTION("""COMPUTED_VALUE"""),"Amandeep Singh")</f>
        <v>Amandeep Singh</v>
      </c>
      <c r="E364" s="1" t="str">
        <f ca="1">IFERROR(__xludf.DUMMYFUNCTION("""COMPUTED_VALUE"""),"Sr. Lecturer")</f>
        <v>Sr. Lecturer</v>
      </c>
      <c r="F364" s="1" t="str">
        <f ca="1">IFERROR(__xludf.DUMMYFUNCTION("""COMPUTED_VALUE"""),"amandeep8011@gmail.com")</f>
        <v>amandeep8011@gmail.com</v>
      </c>
      <c r="G364" s="1">
        <f ca="1">IFERROR(__xludf.DUMMYFUNCTION("""COMPUTED_VALUE"""),9878336198)</f>
        <v>9878336198</v>
      </c>
    </row>
    <row r="365" spans="1:7" x14ac:dyDescent="0.3">
      <c r="A365" s="1" t="str">
        <f ca="1">IFERROR(__xludf.DUMMYFUNCTION("""COMPUTED_VALUE"""),"Government Polytechnic College, Bareta")</f>
        <v>Government Polytechnic College, Bareta</v>
      </c>
      <c r="B365" s="1" t="str">
        <f ca="1">IFERROR(__xludf.DUMMYFUNCTION("""COMPUTED_VALUE"""),"Mansa")</f>
        <v>Mansa</v>
      </c>
      <c r="C365" s="1" t="str">
        <f ca="1">IFERROR(__xludf.DUMMYFUNCTION("""COMPUTED_VALUE"""),"Mechanical Engineering")</f>
        <v>Mechanical Engineering</v>
      </c>
      <c r="D365" s="1" t="str">
        <f ca="1">IFERROR(__xludf.DUMMYFUNCTION("""COMPUTED_VALUE"""),"Balbir Singh")</f>
        <v>Balbir Singh</v>
      </c>
      <c r="E365" s="1" t="str">
        <f ca="1">IFERROR(__xludf.DUMMYFUNCTION("""COMPUTED_VALUE"""),"Workshop Superintendent")</f>
        <v>Workshop Superintendent</v>
      </c>
      <c r="F365" s="1" t="str">
        <f ca="1">IFERROR(__xludf.DUMMYFUNCTION("""COMPUTED_VALUE"""),"dhaliwalbalbirsingh@gmail.com")</f>
        <v>dhaliwalbalbirsingh@gmail.com</v>
      </c>
      <c r="G365" s="1">
        <f ca="1">IFERROR(__xludf.DUMMYFUNCTION("""COMPUTED_VALUE"""),9876060472)</f>
        <v>9876060472</v>
      </c>
    </row>
    <row r="366" spans="1:7" x14ac:dyDescent="0.3">
      <c r="A366" s="1" t="str">
        <f ca="1">IFERROR(__xludf.DUMMYFUNCTION("""COMPUTED_VALUE"""),"Government Polytechnic College, Bareta")</f>
        <v>Government Polytechnic College, Bareta</v>
      </c>
      <c r="B366" s="1" t="str">
        <f ca="1">IFERROR(__xludf.DUMMYFUNCTION("""COMPUTED_VALUE"""),"Mansa")</f>
        <v>Mansa</v>
      </c>
      <c r="C366" s="1" t="str">
        <f ca="1">IFERROR(__xludf.DUMMYFUNCTION("""COMPUTED_VALUE"""),"Applied Science")</f>
        <v>Applied Science</v>
      </c>
      <c r="D366" s="1" t="str">
        <f ca="1">IFERROR(__xludf.DUMMYFUNCTION("""COMPUTED_VALUE"""),"Ripandeep Singh")</f>
        <v>Ripandeep Singh</v>
      </c>
      <c r="E366" s="1" t="str">
        <f ca="1">IFERROR(__xludf.DUMMYFUNCTION("""COMPUTED_VALUE"""),"Lecturer")</f>
        <v>Lecturer</v>
      </c>
      <c r="F366" s="1" t="str">
        <f ca="1">IFERROR(__xludf.DUMMYFUNCTION("""COMPUTED_VALUE"""),"ripandeep108@gmail.com")</f>
        <v>ripandeep108@gmail.com</v>
      </c>
      <c r="G366" s="1">
        <f ca="1">IFERROR(__xludf.DUMMYFUNCTION("""COMPUTED_VALUE"""),8837632165)</f>
        <v>8837632165</v>
      </c>
    </row>
    <row r="367" spans="1:7" x14ac:dyDescent="0.3">
      <c r="A367" s="1" t="str">
        <f ca="1">IFERROR(__xludf.DUMMYFUNCTION("""COMPUTED_VALUE"""),"Government Polytechnic College, Bareta")</f>
        <v>Government Polytechnic College, Bareta</v>
      </c>
      <c r="B367" s="1" t="str">
        <f ca="1">IFERROR(__xludf.DUMMYFUNCTION("""COMPUTED_VALUE"""),"Mansa")</f>
        <v>Mansa</v>
      </c>
      <c r="C367" s="1" t="str">
        <f ca="1">IFERROR(__xludf.DUMMYFUNCTION("""COMPUTED_VALUE"""),"Computer Science and Engineering")</f>
        <v>Computer Science and Engineering</v>
      </c>
      <c r="D367" s="1" t="str">
        <f ca="1">IFERROR(__xludf.DUMMYFUNCTION("""COMPUTED_VALUE"""),"Mandeep Kaur")</f>
        <v>Mandeep Kaur</v>
      </c>
      <c r="E367" s="1" t="str">
        <f ca="1">IFERROR(__xludf.DUMMYFUNCTION("""COMPUTED_VALUE"""),"Lecturer")</f>
        <v>Lecturer</v>
      </c>
      <c r="F367" s="1" t="str">
        <f ca="1">IFERROR(__xludf.DUMMYFUNCTION("""COMPUTED_VALUE"""),"er.mandeepkaur @gmail.com")</f>
        <v>er.mandeepkaur @gmail.com</v>
      </c>
      <c r="G367" s="1">
        <f ca="1">IFERROR(__xludf.DUMMYFUNCTION("""COMPUTED_VALUE"""),9876266810)</f>
        <v>9876266810</v>
      </c>
    </row>
    <row r="368" spans="1:7" x14ac:dyDescent="0.3">
      <c r="A368" s="1" t="str">
        <f ca="1">IFERROR(__xludf.DUMMYFUNCTION("""COMPUTED_VALUE"""),"Government Polytechnic College, Bareta")</f>
        <v>Government Polytechnic College, Bareta</v>
      </c>
      <c r="B368" s="1" t="str">
        <f ca="1">IFERROR(__xludf.DUMMYFUNCTION("""COMPUTED_VALUE"""),"Mansa")</f>
        <v>Mansa</v>
      </c>
      <c r="C368" s="1" t="str">
        <f ca="1">IFERROR(__xludf.DUMMYFUNCTION("""COMPUTED_VALUE"""),"Mechanical Engineering")</f>
        <v>Mechanical Engineering</v>
      </c>
      <c r="D368" s="1" t="str">
        <f ca="1">IFERROR(__xludf.DUMMYFUNCTION("""COMPUTED_VALUE"""),"Parmod Kumar")</f>
        <v>Parmod Kumar</v>
      </c>
      <c r="E368" s="1" t="str">
        <f ca="1">IFERROR(__xludf.DUMMYFUNCTION("""COMPUTED_VALUE"""),"Lecturer")</f>
        <v>Lecturer</v>
      </c>
      <c r="F368" s="1" t="str">
        <f ca="1">IFERROR(__xludf.DUMMYFUNCTION("""COMPUTED_VALUE"""),"parmod99@gmail.com")</f>
        <v>parmod99@gmail.com</v>
      </c>
      <c r="G368" s="1">
        <f ca="1">IFERROR(__xludf.DUMMYFUNCTION("""COMPUTED_VALUE"""),9991181802)</f>
        <v>9991181802</v>
      </c>
    </row>
    <row r="369" spans="1:7" x14ac:dyDescent="0.3">
      <c r="A369" s="1" t="str">
        <f ca="1">IFERROR(__xludf.DUMMYFUNCTION("""COMPUTED_VALUE"""),"Government Polytechnic College, Bareta")</f>
        <v>Government Polytechnic College, Bareta</v>
      </c>
      <c r="B369" s="1" t="str">
        <f ca="1">IFERROR(__xludf.DUMMYFUNCTION("""COMPUTED_VALUE"""),"Mansa")</f>
        <v>Mansa</v>
      </c>
      <c r="C369" s="1" t="str">
        <f ca="1">IFERROR(__xludf.DUMMYFUNCTION("""COMPUTED_VALUE"""),"Computer Science and Engineering")</f>
        <v>Computer Science and Engineering</v>
      </c>
      <c r="D369" s="1" t="str">
        <f ca="1">IFERROR(__xludf.DUMMYFUNCTION("""COMPUTED_VALUE"""),"Puneet Gupta")</f>
        <v>Puneet Gupta</v>
      </c>
      <c r="E369" s="1" t="str">
        <f ca="1">IFERROR(__xludf.DUMMYFUNCTION("""COMPUTED_VALUE"""),"Sr. Lecturer")</f>
        <v>Sr. Lecturer</v>
      </c>
      <c r="F369" s="1" t="str">
        <f ca="1">IFERROR(__xludf.DUMMYFUNCTION("""COMPUTED_VALUE"""),"puneetable@gmail.com")</f>
        <v>puneetable@gmail.com</v>
      </c>
      <c r="G369" s="1">
        <f ca="1">IFERROR(__xludf.DUMMYFUNCTION("""COMPUTED_VALUE"""),9501016516)</f>
        <v>9501016516</v>
      </c>
    </row>
    <row r="370" spans="1:7" x14ac:dyDescent="0.3">
      <c r="A370" s="1" t="str">
        <f ca="1">IFERROR(__xludf.DUMMYFUNCTION("""COMPUTED_VALUE"""),"Government Polytechnic College, Bareta")</f>
        <v>Government Polytechnic College, Bareta</v>
      </c>
      <c r="B370" s="1" t="str">
        <f ca="1">IFERROR(__xludf.DUMMYFUNCTION("""COMPUTED_VALUE"""),"Mansa")</f>
        <v>Mansa</v>
      </c>
      <c r="C370" s="1" t="str">
        <f ca="1">IFERROR(__xludf.DUMMYFUNCTION("""COMPUTED_VALUE"""),"Mechanical Engineering")</f>
        <v>Mechanical Engineering</v>
      </c>
      <c r="D370" s="1" t="str">
        <f ca="1">IFERROR(__xludf.DUMMYFUNCTION("""COMPUTED_VALUE"""),"Ramandeep Singh")</f>
        <v>Ramandeep Singh</v>
      </c>
      <c r="E370" s="1" t="str">
        <f ca="1">IFERROR(__xludf.DUMMYFUNCTION("""COMPUTED_VALUE"""),"Lecturer")</f>
        <v>Lecturer</v>
      </c>
      <c r="F370" s="1" t="str">
        <f ca="1">IFERROR(__xludf.DUMMYFUNCTION("""COMPUTED_VALUE"""),"mann.raman5454@gmail.com")</f>
        <v>mann.raman5454@gmail.com</v>
      </c>
      <c r="G370" s="1">
        <f ca="1">IFERROR(__xludf.DUMMYFUNCTION("""COMPUTED_VALUE"""),7009820813)</f>
        <v>7009820813</v>
      </c>
    </row>
    <row r="371" spans="1:7" x14ac:dyDescent="0.3">
      <c r="A371" s="1" t="str">
        <f ca="1">IFERROR(__xludf.DUMMYFUNCTION("""COMPUTED_VALUE"""),"Government Polytechnic College, Bareta")</f>
        <v>Government Polytechnic College, Bareta</v>
      </c>
      <c r="B371" s="1" t="str">
        <f ca="1">IFERROR(__xludf.DUMMYFUNCTION("""COMPUTED_VALUE"""),"Mansa")</f>
        <v>Mansa</v>
      </c>
      <c r="C371" s="1" t="str">
        <f ca="1">IFERROR(__xludf.DUMMYFUNCTION("""COMPUTED_VALUE"""),"Computer Science and Engineering")</f>
        <v>Computer Science and Engineering</v>
      </c>
      <c r="D371" s="1" t="str">
        <f ca="1">IFERROR(__xludf.DUMMYFUNCTION("""COMPUTED_VALUE"""),"Ramanpreet Kaur")</f>
        <v>Ramanpreet Kaur</v>
      </c>
      <c r="E371" s="1" t="str">
        <f ca="1">IFERROR(__xludf.DUMMYFUNCTION("""COMPUTED_VALUE"""),"Lecturer")</f>
        <v>Lecturer</v>
      </c>
      <c r="F371" s="1" t="str">
        <f ca="1">IFERROR(__xludf.DUMMYFUNCTION("""COMPUTED_VALUE"""),"ramanmander7@gmail.com")</f>
        <v>ramanmander7@gmail.com</v>
      </c>
      <c r="G371" s="1">
        <f ca="1">IFERROR(__xludf.DUMMYFUNCTION("""COMPUTED_VALUE"""),9876698002)</f>
        <v>9876698002</v>
      </c>
    </row>
    <row r="372" spans="1:7" x14ac:dyDescent="0.3">
      <c r="A372" s="1" t="str">
        <f ca="1">IFERROR(__xludf.DUMMYFUNCTION("""COMPUTED_VALUE"""),"Government Polytechnic College, Bareta")</f>
        <v>Government Polytechnic College, Bareta</v>
      </c>
      <c r="B372" s="1" t="str">
        <f ca="1">IFERROR(__xludf.DUMMYFUNCTION("""COMPUTED_VALUE"""),"Mansa")</f>
        <v>Mansa</v>
      </c>
      <c r="C372" s="1" t="str">
        <f ca="1">IFERROR(__xludf.DUMMYFUNCTION("""COMPUTED_VALUE"""),"Computer Science and Engineering")</f>
        <v>Computer Science and Engineering</v>
      </c>
      <c r="D372" s="1" t="str">
        <f ca="1">IFERROR(__xludf.DUMMYFUNCTION("""COMPUTED_VALUE"""),"Yogesh Kumar")</f>
        <v>Yogesh Kumar</v>
      </c>
      <c r="E372" s="1" t="str">
        <f ca="1">IFERROR(__xludf.DUMMYFUNCTION("""COMPUTED_VALUE"""),"Lecturer")</f>
        <v>Lecturer</v>
      </c>
      <c r="F372" s="1" t="str">
        <f ca="1">IFERROR(__xludf.DUMMYFUNCTION("""COMPUTED_VALUE"""),"yogeshkumargarg@gmail.com")</f>
        <v>yogeshkumargarg@gmail.com</v>
      </c>
      <c r="G372" s="1">
        <f ca="1">IFERROR(__xludf.DUMMYFUNCTION("""COMPUTED_VALUE"""),8146818186)</f>
        <v>8146818186</v>
      </c>
    </row>
    <row r="373" spans="1:7" x14ac:dyDescent="0.3">
      <c r="A373" s="1" t="str">
        <f ca="1">IFERROR(__xludf.DUMMYFUNCTION("""COMPUTED_VALUE"""),"Governement Polytechnic College, GTB Garh")</f>
        <v>Governement Polytechnic College, GTB Garh</v>
      </c>
      <c r="B373" s="1" t="str">
        <f ca="1">IFERROR(__xludf.DUMMYFUNCTION("""COMPUTED_VALUE"""),"Moga")</f>
        <v>Moga</v>
      </c>
      <c r="C373" s="1" t="str">
        <f ca="1">IFERROR(__xludf.DUMMYFUNCTION("""COMPUTED_VALUE"""),"Computer Science and Engineering")</f>
        <v>Computer Science and Engineering</v>
      </c>
      <c r="D373" s="1" t="str">
        <f ca="1">IFERROR(__xludf.DUMMYFUNCTION("""COMPUTED_VALUE"""),"Dr.. Pallavi Arora")</f>
        <v>Dr.. Pallavi Arora</v>
      </c>
      <c r="E373" s="1" t="str">
        <f ca="1">IFERROR(__xludf.DUMMYFUNCTION("""COMPUTED_VALUE"""),"Lecturer")</f>
        <v>Lecturer</v>
      </c>
      <c r="F373" s="1" t="str">
        <f ca="1">IFERROR(__xludf.DUMMYFUNCTION("""COMPUTED_VALUE"""),"pallavigrover2191@gmail.com")</f>
        <v>pallavigrover2191@gmail.com</v>
      </c>
      <c r="G373" s="1">
        <f ca="1">IFERROR(__xludf.DUMMYFUNCTION("""COMPUTED_VALUE"""),8559027000)</f>
        <v>8559027000</v>
      </c>
    </row>
    <row r="374" spans="1:7" x14ac:dyDescent="0.3">
      <c r="A374" s="1" t="str">
        <f ca="1">IFERROR(__xludf.DUMMYFUNCTION("""COMPUTED_VALUE"""),"Governement Polytechnic College, GTB Garh")</f>
        <v>Governement Polytechnic College, GTB Garh</v>
      </c>
      <c r="B374" s="1" t="str">
        <f ca="1">IFERROR(__xludf.DUMMYFUNCTION("""COMPUTED_VALUE"""),"Moga")</f>
        <v>Moga</v>
      </c>
      <c r="C374" s="1" t="str">
        <f ca="1">IFERROR(__xludf.DUMMYFUNCTION("""COMPUTED_VALUE"""),"Electrical Engineering")</f>
        <v>Electrical Engineering</v>
      </c>
      <c r="D374" s="1" t="str">
        <f ca="1">IFERROR(__xludf.DUMMYFUNCTION("""COMPUTED_VALUE"""),"Miss. Rupinder Kaur")</f>
        <v>Miss. Rupinder Kaur</v>
      </c>
      <c r="E374" s="1" t="str">
        <f ca="1">IFERROR(__xludf.DUMMYFUNCTION("""COMPUTED_VALUE"""),"Sr. Lecturer")</f>
        <v>Sr. Lecturer</v>
      </c>
      <c r="F374" s="1" t="str">
        <f ca="1">IFERROR(__xludf.DUMMYFUNCTION("""COMPUTED_VALUE"""),"rupinderkaur6354@gmail.com")</f>
        <v>rupinderkaur6354@gmail.com</v>
      </c>
      <c r="G374" s="1">
        <f ca="1">IFERROR(__xludf.DUMMYFUNCTION("""COMPUTED_VALUE"""),9888286879)</f>
        <v>9888286879</v>
      </c>
    </row>
    <row r="375" spans="1:7" x14ac:dyDescent="0.3">
      <c r="A375" s="1" t="str">
        <f ca="1">IFERROR(__xludf.DUMMYFUNCTION("""COMPUTED_VALUE"""),"Governement Polytechnic College, GTB Garh")</f>
        <v>Governement Polytechnic College, GTB Garh</v>
      </c>
      <c r="B375" s="1" t="str">
        <f ca="1">IFERROR(__xludf.DUMMYFUNCTION("""COMPUTED_VALUE"""),"Moga")</f>
        <v>Moga</v>
      </c>
      <c r="C375" s="1" t="str">
        <f ca="1">IFERROR(__xludf.DUMMYFUNCTION("""COMPUTED_VALUE"""),"Electrical Engineering")</f>
        <v>Electrical Engineering</v>
      </c>
      <c r="D375" s="1" t="str">
        <f ca="1">IFERROR(__xludf.DUMMYFUNCTION("""COMPUTED_VALUE"""),"Sh. Arun Kumar")</f>
        <v>Sh. Arun Kumar</v>
      </c>
      <c r="E375" s="1" t="str">
        <f ca="1">IFERROR(__xludf.DUMMYFUNCTION("""COMPUTED_VALUE"""),"Lecturer")</f>
        <v>Lecturer</v>
      </c>
      <c r="F375" s="1" t="str">
        <f ca="1">IFERROR(__xludf.DUMMYFUNCTION("""COMPUTED_VALUE"""),"arunkumar28011990@gmail.com")</f>
        <v>arunkumar28011990@gmail.com</v>
      </c>
      <c r="G375" s="1">
        <f ca="1">IFERROR(__xludf.DUMMYFUNCTION("""COMPUTED_VALUE"""),9876040143)</f>
        <v>9876040143</v>
      </c>
    </row>
    <row r="376" spans="1:7" x14ac:dyDescent="0.3">
      <c r="A376" s="1" t="str">
        <f ca="1">IFERROR(__xludf.DUMMYFUNCTION("""COMPUTED_VALUE"""),"Governement Polytechnic College, GTB Garh")</f>
        <v>Governement Polytechnic College, GTB Garh</v>
      </c>
      <c r="B376" s="1" t="str">
        <f ca="1">IFERROR(__xludf.DUMMYFUNCTION("""COMPUTED_VALUE"""),"Moga")</f>
        <v>Moga</v>
      </c>
      <c r="C376" s="1" t="str">
        <f ca="1">IFERROR(__xludf.DUMMYFUNCTION("""COMPUTED_VALUE"""),"Mechanical Engineering")</f>
        <v>Mechanical Engineering</v>
      </c>
      <c r="D376" s="1" t="str">
        <f ca="1">IFERROR(__xludf.DUMMYFUNCTION("""COMPUTED_VALUE"""),"Sh. Baljit Singh Virk")</f>
        <v>Sh. Baljit Singh Virk</v>
      </c>
      <c r="E376" s="1" t="str">
        <f ca="1">IFERROR(__xludf.DUMMYFUNCTION("""COMPUTED_VALUE"""),"HOD")</f>
        <v>HOD</v>
      </c>
      <c r="F376" s="1" t="str">
        <f ca="1">IFERROR(__xludf.DUMMYFUNCTION("""COMPUTED_VALUE"""),"baljit. virk1969@punjab.gov.in")</f>
        <v>baljit. virk1969@punjab.gov.in</v>
      </c>
      <c r="G376" s="1">
        <f ca="1">IFERROR(__xludf.DUMMYFUNCTION("""COMPUTED_VALUE"""),9501108797)</f>
        <v>9501108797</v>
      </c>
    </row>
    <row r="377" spans="1:7" x14ac:dyDescent="0.3">
      <c r="A377" s="1" t="str">
        <f ca="1">IFERROR(__xludf.DUMMYFUNCTION("""COMPUTED_VALUE"""),"Governement Polytechnic College, GTB Garh")</f>
        <v>Governement Polytechnic College, GTB Garh</v>
      </c>
      <c r="B377" s="1" t="str">
        <f ca="1">IFERROR(__xludf.DUMMYFUNCTION("""COMPUTED_VALUE"""),"Moga")</f>
        <v>Moga</v>
      </c>
      <c r="C377" s="1" t="str">
        <f ca="1">IFERROR(__xludf.DUMMYFUNCTION("""COMPUTED_VALUE"""),"Electrical Engineering")</f>
        <v>Electrical Engineering</v>
      </c>
      <c r="D377" s="1" t="str">
        <f ca="1">IFERROR(__xludf.DUMMYFUNCTION("""COMPUTED_VALUE"""),"Sh. Barjinder Singh")</f>
        <v>Sh. Barjinder Singh</v>
      </c>
      <c r="E377" s="1" t="str">
        <f ca="1">IFERROR(__xludf.DUMMYFUNCTION("""COMPUTED_VALUE"""),"HOD")</f>
        <v>HOD</v>
      </c>
      <c r="F377" s="1" t="str">
        <f ca="1">IFERROR(__xludf.DUMMYFUNCTION("""COMPUTED_VALUE"""),"Barjinder.incometax@gmail.com")</f>
        <v>Barjinder.incometax@gmail.com</v>
      </c>
      <c r="G377" s="1">
        <f ca="1">IFERROR(__xludf.DUMMYFUNCTION("""COMPUTED_VALUE"""),9592900819)</f>
        <v>9592900819</v>
      </c>
    </row>
    <row r="378" spans="1:7" x14ac:dyDescent="0.3">
      <c r="A378" s="1" t="str">
        <f ca="1">IFERROR(__xludf.DUMMYFUNCTION("""COMPUTED_VALUE"""),"Governement Polytechnic College, GTB Garh")</f>
        <v>Governement Polytechnic College, GTB Garh</v>
      </c>
      <c r="B378" s="1" t="str">
        <f ca="1">IFERROR(__xludf.DUMMYFUNCTION("""COMPUTED_VALUE"""),"Moga")</f>
        <v>Moga</v>
      </c>
      <c r="C378" s="1" t="str">
        <f ca="1">IFERROR(__xludf.DUMMYFUNCTION("""COMPUTED_VALUE"""),"Workshop")</f>
        <v>Workshop</v>
      </c>
      <c r="D378" s="1" t="str">
        <f ca="1">IFERROR(__xludf.DUMMYFUNCTION("""COMPUTED_VALUE"""),"Sh. Bimal Parkash")</f>
        <v>Sh. Bimal Parkash</v>
      </c>
      <c r="E378" s="1" t="str">
        <f ca="1">IFERROR(__xludf.DUMMYFUNCTION("""COMPUTED_VALUE"""),"Workshop Instructor")</f>
        <v>Workshop Instructor</v>
      </c>
      <c r="F378" s="1" t="str">
        <f ca="1">IFERROR(__xludf.DUMMYFUNCTION("""COMPUTED_VALUE"""),"bimalparkash45@gmail.com")</f>
        <v>bimalparkash45@gmail.com</v>
      </c>
      <c r="G378" s="1">
        <f ca="1">IFERROR(__xludf.DUMMYFUNCTION("""COMPUTED_VALUE"""),9464408947)</f>
        <v>9464408947</v>
      </c>
    </row>
    <row r="379" spans="1:7" x14ac:dyDescent="0.3">
      <c r="A379" s="1" t="str">
        <f ca="1">IFERROR(__xludf.DUMMYFUNCTION("""COMPUTED_VALUE"""),"Governement Polytechnic College, GTB Garh")</f>
        <v>Governement Polytechnic College, GTB Garh</v>
      </c>
      <c r="B379" s="1" t="str">
        <f ca="1">IFERROR(__xludf.DUMMYFUNCTION("""COMPUTED_VALUE"""),"Moga")</f>
        <v>Moga</v>
      </c>
      <c r="C379" s="1" t="str">
        <f ca="1">IFERROR(__xludf.DUMMYFUNCTION("""COMPUTED_VALUE"""),"Civil Engineering")</f>
        <v>Civil Engineering</v>
      </c>
      <c r="D379" s="1" t="str">
        <f ca="1">IFERROR(__xludf.DUMMYFUNCTION("""COMPUTED_VALUE"""),"Sh. Harinder Singh")</f>
        <v>Sh. Harinder Singh</v>
      </c>
      <c r="E379" s="1" t="str">
        <f ca="1">IFERROR(__xludf.DUMMYFUNCTION("""COMPUTED_VALUE"""),"Lecturer")</f>
        <v>Lecturer</v>
      </c>
      <c r="F379" s="1" t="str">
        <f ca="1">IFERROR(__xludf.DUMMYFUNCTION("""COMPUTED_VALUE"""),"harindersingh41@gmail.com")</f>
        <v>harindersingh41@gmail.com</v>
      </c>
      <c r="G379" s="1">
        <f ca="1">IFERROR(__xludf.DUMMYFUNCTION("""COMPUTED_VALUE"""),9988117291)</f>
        <v>9988117291</v>
      </c>
    </row>
    <row r="380" spans="1:7" x14ac:dyDescent="0.3">
      <c r="A380" s="1" t="str">
        <f ca="1">IFERROR(__xludf.DUMMYFUNCTION("""COMPUTED_VALUE"""),"Governement Polytechnic College, GTB Garh")</f>
        <v>Governement Polytechnic College, GTB Garh</v>
      </c>
      <c r="B380" s="1" t="str">
        <f ca="1">IFERROR(__xludf.DUMMYFUNCTION("""COMPUTED_VALUE"""),"Moga")</f>
        <v>Moga</v>
      </c>
      <c r="C380" s="1" t="str">
        <f ca="1">IFERROR(__xludf.DUMMYFUNCTION("""COMPUTED_VALUE"""),"Electronics and Communications Engineering")</f>
        <v>Electronics and Communications Engineering</v>
      </c>
      <c r="D380" s="1" t="str">
        <f ca="1">IFERROR(__xludf.DUMMYFUNCTION("""COMPUTED_VALUE"""),"Sh. Jagdeep Singh Sandhu")</f>
        <v>Sh. Jagdeep Singh Sandhu</v>
      </c>
      <c r="E380" s="1" t="str">
        <f ca="1">IFERROR(__xludf.DUMMYFUNCTION("""COMPUTED_VALUE"""),"Lecturer")</f>
        <v>Lecturer</v>
      </c>
      <c r="F380" s="1" t="str">
        <f ca="1">IFERROR(__xludf.DUMMYFUNCTION("""COMPUTED_VALUE"""),"jaggisandhu1992@gmail.com")</f>
        <v>jaggisandhu1992@gmail.com</v>
      </c>
      <c r="G380" s="1">
        <f ca="1">IFERROR(__xludf.DUMMYFUNCTION("""COMPUTED_VALUE"""),8837683085)</f>
        <v>8837683085</v>
      </c>
    </row>
    <row r="381" spans="1:7" x14ac:dyDescent="0.3">
      <c r="A381" s="1" t="str">
        <f ca="1">IFERROR(__xludf.DUMMYFUNCTION("""COMPUTED_VALUE"""),"Governement Polytechnic College, GTB Garh")</f>
        <v>Governement Polytechnic College, GTB Garh</v>
      </c>
      <c r="B381" s="1" t="str">
        <f ca="1">IFERROR(__xludf.DUMMYFUNCTION("""COMPUTED_VALUE"""),"Moga")</f>
        <v>Moga</v>
      </c>
      <c r="C381" s="1" t="str">
        <f ca="1">IFERROR(__xludf.DUMMYFUNCTION("""COMPUTED_VALUE"""),"Computer Science and Engineering")</f>
        <v>Computer Science and Engineering</v>
      </c>
      <c r="D381" s="1" t="str">
        <f ca="1">IFERROR(__xludf.DUMMYFUNCTION("""COMPUTED_VALUE"""),"Sh. Kulvir Singh")</f>
        <v>Sh. Kulvir Singh</v>
      </c>
      <c r="E381" s="1" t="str">
        <f ca="1">IFERROR(__xludf.DUMMYFUNCTION("""COMPUTED_VALUE"""),"Lecturer")</f>
        <v>Lecturer</v>
      </c>
      <c r="F381" s="1" t="str">
        <f ca="1">IFERROR(__xludf.DUMMYFUNCTION("""COMPUTED_VALUE"""),"gill. kulvir@gmail. com")</f>
        <v>gill. kulvir@gmail. com</v>
      </c>
      <c r="G381" s="1">
        <f ca="1">IFERROR(__xludf.DUMMYFUNCTION("""COMPUTED_VALUE"""),9501400723)</f>
        <v>9501400723</v>
      </c>
    </row>
    <row r="382" spans="1:7" x14ac:dyDescent="0.3">
      <c r="A382" s="1" t="str">
        <f ca="1">IFERROR(__xludf.DUMMYFUNCTION("""COMPUTED_VALUE"""),"Governement Polytechnic College, GTB Garh")</f>
        <v>Governement Polytechnic College, GTB Garh</v>
      </c>
      <c r="B382" s="1" t="str">
        <f ca="1">IFERROR(__xludf.DUMMYFUNCTION("""COMPUTED_VALUE"""),"Moga")</f>
        <v>Moga</v>
      </c>
      <c r="C382" s="1" t="str">
        <f ca="1">IFERROR(__xludf.DUMMYFUNCTION("""COMPUTED_VALUE"""),"Chemical Engineering")</f>
        <v>Chemical Engineering</v>
      </c>
      <c r="D382" s="1" t="str">
        <f ca="1">IFERROR(__xludf.DUMMYFUNCTION("""COMPUTED_VALUE"""),"Sh. Narinder Singh")</f>
        <v>Sh. Narinder Singh</v>
      </c>
      <c r="E382" s="1" t="str">
        <f ca="1">IFERROR(__xludf.DUMMYFUNCTION("""COMPUTED_VALUE"""),"Lecturer")</f>
        <v>Lecturer</v>
      </c>
      <c r="F382" s="1" t="str">
        <f ca="1">IFERROR(__xludf.DUMMYFUNCTION("""COMPUTED_VALUE"""),"narindersingh.chem@gmail.com")</f>
        <v>narindersingh.chem@gmail.com</v>
      </c>
      <c r="G382" s="1">
        <f ca="1">IFERROR(__xludf.DUMMYFUNCTION("""COMPUTED_VALUE"""),9501500941)</f>
        <v>9501500941</v>
      </c>
    </row>
    <row r="383" spans="1:7" x14ac:dyDescent="0.3">
      <c r="A383" s="1" t="str">
        <f ca="1">IFERROR(__xludf.DUMMYFUNCTION("""COMPUTED_VALUE"""),"Governement Polytechnic College, GTB Garh")</f>
        <v>Governement Polytechnic College, GTB Garh</v>
      </c>
      <c r="B383" s="1" t="str">
        <f ca="1">IFERROR(__xludf.DUMMYFUNCTION("""COMPUTED_VALUE"""),"Moga")</f>
        <v>Moga</v>
      </c>
      <c r="C383" s="1" t="str">
        <f ca="1">IFERROR(__xludf.DUMMYFUNCTION("""COMPUTED_VALUE"""),"Electronics and Communications Engineering")</f>
        <v>Electronics and Communications Engineering</v>
      </c>
      <c r="D383" s="1" t="str">
        <f ca="1">IFERROR(__xludf.DUMMYFUNCTION("""COMPUTED_VALUE"""),"Sh. Pankaj Kumar")</f>
        <v>Sh. Pankaj Kumar</v>
      </c>
      <c r="E383" s="1" t="str">
        <f ca="1">IFERROR(__xludf.DUMMYFUNCTION("""COMPUTED_VALUE"""),"Lecturer")</f>
        <v>Lecturer</v>
      </c>
      <c r="F383" s="1" t="str">
        <f ca="1">IFERROR(__xludf.DUMMYFUNCTION("""COMPUTED_VALUE"""),"pucoe08@gmail.com")</f>
        <v>pucoe08@gmail.com</v>
      </c>
      <c r="G383" s="1">
        <f ca="1">IFERROR(__xludf.DUMMYFUNCTION("""COMPUTED_VALUE"""),9828927679)</f>
        <v>9828927679</v>
      </c>
    </row>
    <row r="384" spans="1:7" x14ac:dyDescent="0.3">
      <c r="A384" s="1" t="str">
        <f ca="1">IFERROR(__xludf.DUMMYFUNCTION("""COMPUTED_VALUE"""),"Governement Polytechnic College, GTB Garh")</f>
        <v>Governement Polytechnic College, GTB Garh</v>
      </c>
      <c r="B384" s="1" t="str">
        <f ca="1">IFERROR(__xludf.DUMMYFUNCTION("""COMPUTED_VALUE"""),"Moga")</f>
        <v>Moga</v>
      </c>
      <c r="C384" s="1" t="str">
        <f ca="1">IFERROR(__xludf.DUMMYFUNCTION("""COMPUTED_VALUE"""),"Electronics and Communications Engineering")</f>
        <v>Electronics and Communications Engineering</v>
      </c>
      <c r="D384" s="1" t="str">
        <f ca="1">IFERROR(__xludf.DUMMYFUNCTION("""COMPUTED_VALUE"""),"Sh. Parminder Singh")</f>
        <v>Sh. Parminder Singh</v>
      </c>
      <c r="E384" s="1" t="str">
        <f ca="1">IFERROR(__xludf.DUMMYFUNCTION("""COMPUTED_VALUE"""),"Lecturer")</f>
        <v>Lecturer</v>
      </c>
      <c r="F384" s="1" t="str">
        <f ca="1">IFERROR(__xludf.DUMMYFUNCTION("""COMPUTED_VALUE"""),"parm.bathinda@gmail.com")</f>
        <v>parm.bathinda@gmail.com</v>
      </c>
      <c r="G384" s="1">
        <f ca="1">IFERROR(__xludf.DUMMYFUNCTION("""COMPUTED_VALUE"""),9501700864)</f>
        <v>9501700864</v>
      </c>
    </row>
    <row r="385" spans="1:7" x14ac:dyDescent="0.3">
      <c r="A385" s="1" t="str">
        <f ca="1">IFERROR(__xludf.DUMMYFUNCTION("""COMPUTED_VALUE"""),"Governement Polytechnic College, GTB Garh")</f>
        <v>Governement Polytechnic College, GTB Garh</v>
      </c>
      <c r="B385" s="1" t="str">
        <f ca="1">IFERROR(__xludf.DUMMYFUNCTION("""COMPUTED_VALUE"""),"Moga")</f>
        <v>Moga</v>
      </c>
      <c r="C385" s="1" t="str">
        <f ca="1">IFERROR(__xludf.DUMMYFUNCTION("""COMPUTED_VALUE"""),"Mechanical Engineering")</f>
        <v>Mechanical Engineering</v>
      </c>
      <c r="D385" s="1" t="str">
        <f ca="1">IFERROR(__xludf.DUMMYFUNCTION("""COMPUTED_VALUE"""),"Sh. Rajesh Kumar")</f>
        <v>Sh. Rajesh Kumar</v>
      </c>
      <c r="E385" s="1" t="str">
        <f ca="1">IFERROR(__xludf.DUMMYFUNCTION("""COMPUTED_VALUE"""),"Sr. Lecturer")</f>
        <v>Sr. Lecturer</v>
      </c>
      <c r="F385" s="1" t="str">
        <f ca="1">IFERROR(__xludf.DUMMYFUNCTION("""COMPUTED_VALUE"""),"Rajesh 1971@ gmail.com")</f>
        <v>Rajesh 1971@ gmail.com</v>
      </c>
      <c r="G385" s="1">
        <f ca="1">IFERROR(__xludf.DUMMYFUNCTION("""COMPUTED_VALUE"""),9888735402)</f>
        <v>9888735402</v>
      </c>
    </row>
    <row r="386" spans="1:7" x14ac:dyDescent="0.3">
      <c r="A386" s="1" t="str">
        <f ca="1">IFERROR(__xludf.DUMMYFUNCTION("""COMPUTED_VALUE"""),"Governement Polytechnic College, GTB Garh")</f>
        <v>Governement Polytechnic College, GTB Garh</v>
      </c>
      <c r="B386" s="1" t="str">
        <f ca="1">IFERROR(__xludf.DUMMYFUNCTION("""COMPUTED_VALUE"""),"Moga")</f>
        <v>Moga</v>
      </c>
      <c r="C386" s="1" t="str">
        <f ca="1">IFERROR(__xludf.DUMMYFUNCTION("""COMPUTED_VALUE"""),"Mechanical Engineering")</f>
        <v>Mechanical Engineering</v>
      </c>
      <c r="D386" s="1" t="str">
        <f ca="1">IFERROR(__xludf.DUMMYFUNCTION("""COMPUTED_VALUE"""),"Sh. Satnam Singh")</f>
        <v>Sh. Satnam Singh</v>
      </c>
      <c r="E386" s="1" t="str">
        <f ca="1">IFERROR(__xludf.DUMMYFUNCTION("""COMPUTED_VALUE"""),"Lecturer")</f>
        <v>Lecturer</v>
      </c>
      <c r="F386" s="1" t="str">
        <f ca="1">IFERROR(__xludf.DUMMYFUNCTION("""COMPUTED_VALUE"""),"satnamkalsi300@gmail.com")</f>
        <v>satnamkalsi300@gmail.com</v>
      </c>
      <c r="G386" s="1">
        <f ca="1">IFERROR(__xludf.DUMMYFUNCTION("""COMPUTED_VALUE"""),9465559074)</f>
        <v>9465559074</v>
      </c>
    </row>
    <row r="387" spans="1:7" x14ac:dyDescent="0.3">
      <c r="A387" s="1" t="str">
        <f ca="1">IFERROR(__xludf.DUMMYFUNCTION("""COMPUTED_VALUE"""),"Governement Polytechnic College, GTB Garh")</f>
        <v>Governement Polytechnic College, GTB Garh</v>
      </c>
      <c r="B387" s="1" t="str">
        <f ca="1">IFERROR(__xludf.DUMMYFUNCTION("""COMPUTED_VALUE"""),"Moga")</f>
        <v>Moga</v>
      </c>
      <c r="C387" s="1" t="str">
        <f ca="1">IFERROR(__xludf.DUMMYFUNCTION("""COMPUTED_VALUE"""),"Electrical Engineering")</f>
        <v>Electrical Engineering</v>
      </c>
      <c r="D387" s="1" t="str">
        <f ca="1">IFERROR(__xludf.DUMMYFUNCTION("""COMPUTED_VALUE"""),"Sh. Sukhjit Singh")</f>
        <v>Sh. Sukhjit Singh</v>
      </c>
      <c r="E387" s="1" t="str">
        <f ca="1">IFERROR(__xludf.DUMMYFUNCTION("""COMPUTED_VALUE"""),"Lecturer")</f>
        <v>Lecturer</v>
      </c>
      <c r="F387" s="1" t="str">
        <f ca="1">IFERROR(__xludf.DUMMYFUNCTION("""COMPUTED_VALUE"""),"ersahota83@gmail.com")</f>
        <v>ersahota83@gmail.com</v>
      </c>
      <c r="G387" s="1">
        <f ca="1">IFERROR(__xludf.DUMMYFUNCTION("""COMPUTED_VALUE"""),8054937542)</f>
        <v>8054937542</v>
      </c>
    </row>
    <row r="388" spans="1:7" x14ac:dyDescent="0.3">
      <c r="A388" s="1" t="str">
        <f ca="1">IFERROR(__xludf.DUMMYFUNCTION("""COMPUTED_VALUE"""),"Governement Polytechnic College, GTB Garh")</f>
        <v>Governement Polytechnic College, GTB Garh</v>
      </c>
      <c r="B388" s="1" t="str">
        <f ca="1">IFERROR(__xludf.DUMMYFUNCTION("""COMPUTED_VALUE"""),"Moga")</f>
        <v>Moga</v>
      </c>
      <c r="C388" s="1" t="str">
        <f ca="1">IFERROR(__xludf.DUMMYFUNCTION("""COMPUTED_VALUE"""),"Electrical Engineering")</f>
        <v>Electrical Engineering</v>
      </c>
      <c r="D388" s="1" t="str">
        <f ca="1">IFERROR(__xludf.DUMMYFUNCTION("""COMPUTED_VALUE"""),"Sh. Uttampreet Singh")</f>
        <v>Sh. Uttampreet Singh</v>
      </c>
      <c r="E388" s="1" t="str">
        <f ca="1">IFERROR(__xludf.DUMMYFUNCTION("""COMPUTED_VALUE"""),"Sr. Lecturer")</f>
        <v>Sr. Lecturer</v>
      </c>
      <c r="F388" s="1" t="str">
        <f ca="1">IFERROR(__xludf.DUMMYFUNCTION("""COMPUTED_VALUE"""),"uttampreet@gmail.com")</f>
        <v>uttampreet@gmail.com</v>
      </c>
      <c r="G388" s="1">
        <f ca="1">IFERROR(__xludf.DUMMYFUNCTION("""COMPUTED_VALUE"""),9988551122)</f>
        <v>9988551122</v>
      </c>
    </row>
    <row r="389" spans="1:7" x14ac:dyDescent="0.3">
      <c r="A389" s="1" t="str">
        <f ca="1">IFERROR(__xludf.DUMMYFUNCTION("""COMPUTED_VALUE"""),"Governement Polytechnic College, GTB Garh")</f>
        <v>Governement Polytechnic College, GTB Garh</v>
      </c>
      <c r="B389" s="1" t="str">
        <f ca="1">IFERROR(__xludf.DUMMYFUNCTION("""COMPUTED_VALUE"""),"Moga")</f>
        <v>Moga</v>
      </c>
      <c r="C389" s="1" t="str">
        <f ca="1">IFERROR(__xludf.DUMMYFUNCTION("""COMPUTED_VALUE"""),"Mechanical Engineering")</f>
        <v>Mechanical Engineering</v>
      </c>
      <c r="D389" s="1" t="str">
        <f ca="1">IFERROR(__xludf.DUMMYFUNCTION("""COMPUTED_VALUE"""),"Sh. Vikas Monga")</f>
        <v>Sh. Vikas Monga</v>
      </c>
      <c r="E389" s="1" t="str">
        <f ca="1">IFERROR(__xludf.DUMMYFUNCTION("""COMPUTED_VALUE"""),"Lecturer")</f>
        <v>Lecturer</v>
      </c>
      <c r="F389" s="1" t="str">
        <f ca="1">IFERROR(__xludf.DUMMYFUNCTION("""COMPUTED_VALUE"""),"vikasmongs77@gmail.com")</f>
        <v>vikasmongs77@gmail.com</v>
      </c>
      <c r="G389" s="1">
        <f ca="1">IFERROR(__xludf.DUMMYFUNCTION("""COMPUTED_VALUE"""),9501012766)</f>
        <v>9501012766</v>
      </c>
    </row>
    <row r="390" spans="1:7" x14ac:dyDescent="0.3">
      <c r="A390" s="1" t="str">
        <f ca="1">IFERROR(__xludf.DUMMYFUNCTION("""COMPUTED_VALUE"""),"Governement Polytechnic College, GTB Garh")</f>
        <v>Governement Polytechnic College, GTB Garh</v>
      </c>
      <c r="B390" s="1" t="str">
        <f ca="1">IFERROR(__xludf.DUMMYFUNCTION("""COMPUTED_VALUE"""),"Moga")</f>
        <v>Moga</v>
      </c>
      <c r="C390" s="1" t="str">
        <f ca="1">IFERROR(__xludf.DUMMYFUNCTION("""COMPUTED_VALUE"""),"Applied Science")</f>
        <v>Applied Science</v>
      </c>
      <c r="D390" s="1" t="str">
        <f ca="1">IFERROR(__xludf.DUMMYFUNCTION("""COMPUTED_VALUE"""),"Smt. Asha Rani")</f>
        <v>Smt. Asha Rani</v>
      </c>
      <c r="E390" s="1" t="str">
        <f ca="1">IFERROR(__xludf.DUMMYFUNCTION("""COMPUTED_VALUE"""),"Sr. Lecturer")</f>
        <v>Sr. Lecturer</v>
      </c>
      <c r="F390" s="1" t="str">
        <f ca="1">IFERROR(__xludf.DUMMYFUNCTION("""COMPUTED_VALUE"""),"ashargoyal@gmail.com")</f>
        <v>ashargoyal@gmail.com</v>
      </c>
      <c r="G390" s="1">
        <f ca="1">IFERROR(__xludf.DUMMYFUNCTION("""COMPUTED_VALUE"""),9417234594)</f>
        <v>9417234594</v>
      </c>
    </row>
    <row r="391" spans="1:7" x14ac:dyDescent="0.3">
      <c r="A391" s="1" t="str">
        <f ca="1">IFERROR(__xludf.DUMMYFUNCTION("""COMPUTED_VALUE"""),"Governement Polytechnic College, GTB Garh")</f>
        <v>Governement Polytechnic College, GTB Garh</v>
      </c>
      <c r="B391" s="1" t="str">
        <f ca="1">IFERROR(__xludf.DUMMYFUNCTION("""COMPUTED_VALUE"""),"Moga")</f>
        <v>Moga</v>
      </c>
      <c r="C391" s="1" t="str">
        <f ca="1">IFERROR(__xludf.DUMMYFUNCTION("""COMPUTED_VALUE"""),"Computer Science and Engineering")</f>
        <v>Computer Science and Engineering</v>
      </c>
      <c r="D391" s="1" t="str">
        <f ca="1">IFERROR(__xludf.DUMMYFUNCTION("""COMPUTED_VALUE"""),"Smt. Gurbinder Kaur")</f>
        <v>Smt. Gurbinder Kaur</v>
      </c>
      <c r="E391" s="1" t="str">
        <f ca="1">IFERROR(__xludf.DUMMYFUNCTION("""COMPUTED_VALUE"""),"Lecturer")</f>
        <v>Lecturer</v>
      </c>
      <c r="F391" s="1" t="str">
        <f ca="1">IFERROR(__xludf.DUMMYFUNCTION("""COMPUTED_VALUE"""),"gurbingill2015@gmail.com")</f>
        <v>gurbingill2015@gmail.com</v>
      </c>
      <c r="G391" s="1">
        <f ca="1">IFERROR(__xludf.DUMMYFUNCTION("""COMPUTED_VALUE"""),9463842891)</f>
        <v>9463842891</v>
      </c>
    </row>
    <row r="392" spans="1:7" x14ac:dyDescent="0.3">
      <c r="A392" s="1" t="str">
        <f ca="1">IFERROR(__xludf.DUMMYFUNCTION("""COMPUTED_VALUE"""),"Governement Polytechnic College, GTB Garh")</f>
        <v>Governement Polytechnic College, GTB Garh</v>
      </c>
      <c r="B392" s="1" t="str">
        <f ca="1">IFERROR(__xludf.DUMMYFUNCTION("""COMPUTED_VALUE"""),"Moga")</f>
        <v>Moga</v>
      </c>
      <c r="C392" s="1" t="str">
        <f ca="1">IFERROR(__xludf.DUMMYFUNCTION("""COMPUTED_VALUE"""),"Electronics and Communications Engineering")</f>
        <v>Electronics and Communications Engineering</v>
      </c>
      <c r="D392" s="1" t="str">
        <f ca="1">IFERROR(__xludf.DUMMYFUNCTION("""COMPUTED_VALUE"""),"Smt. Manisha")</f>
        <v>Smt. Manisha</v>
      </c>
      <c r="E392" s="1" t="str">
        <f ca="1">IFERROR(__xludf.DUMMYFUNCTION("""COMPUTED_VALUE"""),"Lecturer")</f>
        <v>Lecturer</v>
      </c>
      <c r="F392" s="1" t="str">
        <f ca="1">IFERROR(__xludf.DUMMYFUNCTION("""COMPUTED_VALUE"""),"manisha18496@gmail.com")</f>
        <v>manisha18496@gmail.com</v>
      </c>
      <c r="G392" s="1">
        <f ca="1">IFERROR(__xludf.DUMMYFUNCTION("""COMPUTED_VALUE"""),9501003298)</f>
        <v>9501003298</v>
      </c>
    </row>
    <row r="393" spans="1:7" x14ac:dyDescent="0.3">
      <c r="A393" s="1" t="str">
        <f ca="1">IFERROR(__xludf.DUMMYFUNCTION("""COMPUTED_VALUE"""),"Governement Polytechnic College, GTB Garh")</f>
        <v>Governement Polytechnic College, GTB Garh</v>
      </c>
      <c r="B393" s="1" t="str">
        <f ca="1">IFERROR(__xludf.DUMMYFUNCTION("""COMPUTED_VALUE"""),"Moga")</f>
        <v>Moga</v>
      </c>
      <c r="C393" s="1" t="str">
        <f ca="1">IFERROR(__xludf.DUMMYFUNCTION("""COMPUTED_VALUE"""),"Computer Science and Engineering")</f>
        <v>Computer Science and Engineering</v>
      </c>
      <c r="D393" s="1" t="str">
        <f ca="1">IFERROR(__xludf.DUMMYFUNCTION("""COMPUTED_VALUE"""),"Smt. Meenakshi Billa")</f>
        <v>Smt. Meenakshi Billa</v>
      </c>
      <c r="E393" s="1" t="str">
        <f ca="1">IFERROR(__xludf.DUMMYFUNCTION("""COMPUTED_VALUE"""),"Lecturer")</f>
        <v>Lecturer</v>
      </c>
      <c r="F393" s="1" t="str">
        <f ca="1">IFERROR(__xludf.DUMMYFUNCTION("""COMPUTED_VALUE"""),"meenakshibilla85@gmail.com")</f>
        <v>meenakshibilla85@gmail.com</v>
      </c>
      <c r="G393" s="1">
        <f ca="1">IFERROR(__xludf.DUMMYFUNCTION("""COMPUTED_VALUE"""),9501104092)</f>
        <v>9501104092</v>
      </c>
    </row>
    <row r="394" spans="1:7" x14ac:dyDescent="0.3">
      <c r="A394" s="1" t="str">
        <f ca="1">IFERROR(__xludf.DUMMYFUNCTION("""COMPUTED_VALUE"""),"Governement Polytechnic College, GTB Garh")</f>
        <v>Governement Polytechnic College, GTB Garh</v>
      </c>
      <c r="B394" s="1" t="str">
        <f ca="1">IFERROR(__xludf.DUMMYFUNCTION("""COMPUTED_VALUE"""),"Moga")</f>
        <v>Moga</v>
      </c>
      <c r="C394" s="1" t="str">
        <f ca="1">IFERROR(__xludf.DUMMYFUNCTION("""COMPUTED_VALUE"""),"Chemical Engineering")</f>
        <v>Chemical Engineering</v>
      </c>
      <c r="D394" s="1" t="str">
        <f ca="1">IFERROR(__xludf.DUMMYFUNCTION("""COMPUTED_VALUE"""),"Smt. Navjeet Kaur")</f>
        <v>Smt. Navjeet Kaur</v>
      </c>
      <c r="E394" s="1" t="str">
        <f ca="1">IFERROR(__xludf.DUMMYFUNCTION("""COMPUTED_VALUE"""),"Lecturer")</f>
        <v>Lecturer</v>
      </c>
      <c r="F394" s="1" t="str">
        <f ca="1">IFERROR(__xludf.DUMMYFUNCTION("""COMPUTED_VALUE"""),"navjeetkaur83@gmail.com")</f>
        <v>navjeetkaur83@gmail.com</v>
      </c>
      <c r="G394" s="1">
        <f ca="1">IFERROR(__xludf.DUMMYFUNCTION("""COMPUTED_VALUE"""),7814202041)</f>
        <v>7814202041</v>
      </c>
    </row>
    <row r="395" spans="1:7" x14ac:dyDescent="0.3">
      <c r="A395" s="1" t="str">
        <f ca="1">IFERROR(__xludf.DUMMYFUNCTION("""COMPUTED_VALUE"""),"Governement Polytechnic College, GTB Garh")</f>
        <v>Governement Polytechnic College, GTB Garh</v>
      </c>
      <c r="B395" s="1" t="str">
        <f ca="1">IFERROR(__xludf.DUMMYFUNCTION("""COMPUTED_VALUE"""),"Moga")</f>
        <v>Moga</v>
      </c>
      <c r="C395" s="1" t="str">
        <f ca="1">IFERROR(__xludf.DUMMYFUNCTION("""COMPUTED_VALUE"""),"Principal")</f>
        <v>Principal</v>
      </c>
      <c r="D395" s="1" t="str">
        <f ca="1">IFERROR(__xludf.DUMMYFUNCTION("""COMPUTED_VALUE"""),"Smt. Parminder Kaur Dhaliwal")</f>
        <v>Smt. Parminder Kaur Dhaliwal</v>
      </c>
      <c r="E395" s="1" t="str">
        <f ca="1">IFERROR(__xludf.DUMMYFUNCTION("""COMPUTED_VALUE"""),"Principal")</f>
        <v>Principal</v>
      </c>
      <c r="F395" s="1" t="str">
        <f ca="1">IFERROR(__xludf.DUMMYFUNCTION("""COMPUTED_VALUE"""),"pkdhaliwal49@gmail.com")</f>
        <v>pkdhaliwal49@gmail.com</v>
      </c>
      <c r="G395" s="1">
        <f ca="1">IFERROR(__xludf.DUMMYFUNCTION("""COMPUTED_VALUE"""),9814803055)</f>
        <v>9814803055</v>
      </c>
    </row>
    <row r="396" spans="1:7" x14ac:dyDescent="0.3">
      <c r="A396" s="1" t="str">
        <f ca="1">IFERROR(__xludf.DUMMYFUNCTION("""COMPUTED_VALUE"""),"Governement Polytechnic College, GTB Garh")</f>
        <v>Governement Polytechnic College, GTB Garh</v>
      </c>
      <c r="B396" s="1" t="str">
        <f ca="1">IFERROR(__xludf.DUMMYFUNCTION("""COMPUTED_VALUE"""),"Moga")</f>
        <v>Moga</v>
      </c>
      <c r="C396" s="1" t="str">
        <f ca="1">IFERROR(__xludf.DUMMYFUNCTION("""COMPUTED_VALUE"""),"Civil Engineering")</f>
        <v>Civil Engineering</v>
      </c>
      <c r="D396" s="1" t="str">
        <f ca="1">IFERROR(__xludf.DUMMYFUNCTION("""COMPUTED_VALUE"""),"Smt. Sarabjit Kaur")</f>
        <v>Smt. Sarabjit Kaur</v>
      </c>
      <c r="E396" s="1" t="str">
        <f ca="1">IFERROR(__xludf.DUMMYFUNCTION("""COMPUTED_VALUE"""),"HOD")</f>
        <v>HOD</v>
      </c>
      <c r="F396" s="1" t="str">
        <f ca="1">IFERROR(__xludf.DUMMYFUNCTION("""COMPUTED_VALUE"""),"sarabjit3791@ gmail.com")</f>
        <v>sarabjit3791@ gmail.com</v>
      </c>
      <c r="G396" s="1">
        <f ca="1">IFERROR(__xludf.DUMMYFUNCTION("""COMPUTED_VALUE"""),9501108710)</f>
        <v>9501108710</v>
      </c>
    </row>
    <row r="397" spans="1:7" x14ac:dyDescent="0.3">
      <c r="A397" s="1" t="str">
        <f ca="1">IFERROR(__xludf.DUMMYFUNCTION("""COMPUTED_VALUE"""),"Governement Polytechnic College, Patiala")</f>
        <v>Governement Polytechnic College, Patiala</v>
      </c>
      <c r="B397" s="1" t="str">
        <f ca="1">IFERROR(__xludf.DUMMYFUNCTION("""COMPUTED_VALUE"""),"Patiala")</f>
        <v>Patiala</v>
      </c>
      <c r="C397" s="1" t="str">
        <f ca="1">IFERROR(__xludf.DUMMYFUNCTION("""COMPUTED_VALUE"""),"Information Technology")</f>
        <v>Information Technology</v>
      </c>
      <c r="D397" s="1" t="str">
        <f ca="1">IFERROR(__xludf.DUMMYFUNCTION("""COMPUTED_VALUE"""),"Amandeep Kaur")</f>
        <v>Amandeep Kaur</v>
      </c>
      <c r="E397" s="1" t="str">
        <f ca="1">IFERROR(__xludf.DUMMYFUNCTION("""COMPUTED_VALUE"""),"Sr. Lecturer")</f>
        <v>Sr. Lecturer</v>
      </c>
      <c r="F397" s="1" t="str">
        <f ca="1">IFERROR(__xludf.DUMMYFUNCTION("""COMPUTED_VALUE"""),"er.aman201186@gmail.com")</f>
        <v>er.aman201186@gmail.com</v>
      </c>
      <c r="G397" s="1">
        <f ca="1">IFERROR(__xludf.DUMMYFUNCTION("""COMPUTED_VALUE"""),8288990852)</f>
        <v>8288990852</v>
      </c>
    </row>
    <row r="398" spans="1:7" x14ac:dyDescent="0.3">
      <c r="A398" s="1" t="str">
        <f ca="1">IFERROR(__xludf.DUMMYFUNCTION("""COMPUTED_VALUE"""),"Governement Polytechnic College, Patiala")</f>
        <v>Governement Polytechnic College, Patiala</v>
      </c>
      <c r="B398" s="1" t="str">
        <f ca="1">IFERROR(__xludf.DUMMYFUNCTION("""COMPUTED_VALUE"""),"Patiala")</f>
        <v>Patiala</v>
      </c>
      <c r="C398" s="1" t="str">
        <f ca="1">IFERROR(__xludf.DUMMYFUNCTION("""COMPUTED_VALUE"""),"Mechanical Engineering")</f>
        <v>Mechanical Engineering</v>
      </c>
      <c r="D398" s="1" t="str">
        <f ca="1">IFERROR(__xludf.DUMMYFUNCTION("""COMPUTED_VALUE"""),"Ajaypal singh")</f>
        <v>Ajaypal singh</v>
      </c>
      <c r="E398" s="1" t="str">
        <f ca="1">IFERROR(__xludf.DUMMYFUNCTION("""COMPUTED_VALUE"""),"Lecturer")</f>
        <v>Lecturer</v>
      </c>
      <c r="F398" s="1" t="str">
        <f ca="1">IFERROR(__xludf.DUMMYFUNCTION("""COMPUTED_VALUE"""),"ajaypals83@gmail.com")</f>
        <v>ajaypals83@gmail.com</v>
      </c>
      <c r="G398" s="1">
        <f ca="1">IFERROR(__xludf.DUMMYFUNCTION("""COMPUTED_VALUE"""),7508530615)</f>
        <v>7508530615</v>
      </c>
    </row>
    <row r="399" spans="1:7" x14ac:dyDescent="0.3">
      <c r="A399" s="1" t="str">
        <f ca="1">IFERROR(__xludf.DUMMYFUNCTION("""COMPUTED_VALUE"""),"Governement Polytechnic College, Patiala")</f>
        <v>Governement Polytechnic College, Patiala</v>
      </c>
      <c r="B399" s="1" t="str">
        <f ca="1">IFERROR(__xludf.DUMMYFUNCTION("""COMPUTED_VALUE"""),"Patiala")</f>
        <v>Patiala</v>
      </c>
      <c r="C399" s="1" t="str">
        <f ca="1">IFERROR(__xludf.DUMMYFUNCTION("""COMPUTED_VALUE"""),"Pharmacy")</f>
        <v>Pharmacy</v>
      </c>
      <c r="D399" s="1" t="str">
        <f ca="1">IFERROR(__xludf.DUMMYFUNCTION("""COMPUTED_VALUE"""),"Amanpreet Kaur")</f>
        <v>Amanpreet Kaur</v>
      </c>
      <c r="E399" s="1" t="str">
        <f ca="1">IFERROR(__xludf.DUMMYFUNCTION("""COMPUTED_VALUE"""),"Lecturer")</f>
        <v>Lecturer</v>
      </c>
      <c r="F399" s="1" t="str">
        <f ca="1">IFERROR(__xludf.DUMMYFUNCTION("""COMPUTED_VALUE"""),"preetaman1609@gmail.com")</f>
        <v>preetaman1609@gmail.com</v>
      </c>
      <c r="G399" s="1">
        <f ca="1">IFERROR(__xludf.DUMMYFUNCTION("""COMPUTED_VALUE"""),9872866131)</f>
        <v>9872866131</v>
      </c>
    </row>
    <row r="400" spans="1:7" x14ac:dyDescent="0.3">
      <c r="A400" s="1" t="str">
        <f ca="1">IFERROR(__xludf.DUMMYFUNCTION("""COMPUTED_VALUE"""),"Governement Polytechnic College, Patiala")</f>
        <v>Governement Polytechnic College, Patiala</v>
      </c>
      <c r="B400" s="1" t="str">
        <f ca="1">IFERROR(__xludf.DUMMYFUNCTION("""COMPUTED_VALUE"""),"Patiala")</f>
        <v>Patiala</v>
      </c>
      <c r="C400" s="1" t="str">
        <f ca="1">IFERROR(__xludf.DUMMYFUNCTION("""COMPUTED_VALUE"""),"Applied Science")</f>
        <v>Applied Science</v>
      </c>
      <c r="D400" s="1" t="str">
        <f ca="1">IFERROR(__xludf.DUMMYFUNCTION("""COMPUTED_VALUE"""),"Baljeet Kaur Hundal")</f>
        <v>Baljeet Kaur Hundal</v>
      </c>
      <c r="E400" s="1" t="str">
        <f ca="1">IFERROR(__xludf.DUMMYFUNCTION("""COMPUTED_VALUE"""),"Sr. Lecturer")</f>
        <v>Sr. Lecturer</v>
      </c>
      <c r="F400" s="1" t="str">
        <f ca="1">IFERROR(__xludf.DUMMYFUNCTION("""COMPUTED_VALUE"""),"h.baljeet@gmail.com")</f>
        <v>h.baljeet@gmail.com</v>
      </c>
      <c r="G400" s="1">
        <f ca="1">IFERROR(__xludf.DUMMYFUNCTION("""COMPUTED_VALUE"""),9501021578)</f>
        <v>9501021578</v>
      </c>
    </row>
    <row r="401" spans="1:7" x14ac:dyDescent="0.3">
      <c r="A401" s="1" t="str">
        <f ca="1">IFERROR(__xludf.DUMMYFUNCTION("""COMPUTED_VALUE"""),"Governement Polytechnic College, Patiala")</f>
        <v>Governement Polytechnic College, Patiala</v>
      </c>
      <c r="B401" s="1" t="str">
        <f ca="1">IFERROR(__xludf.DUMMYFUNCTION("""COMPUTED_VALUE"""),"Patiala")</f>
        <v>Patiala</v>
      </c>
      <c r="C401" s="1" t="str">
        <f ca="1">IFERROR(__xludf.DUMMYFUNCTION("""COMPUTED_VALUE"""),"Electronics and Communications Engineering")</f>
        <v>Electronics and Communications Engineering</v>
      </c>
      <c r="D401" s="1" t="str">
        <f ca="1">IFERROR(__xludf.DUMMYFUNCTION("""COMPUTED_VALUE"""),"Bhupinder Kaur")</f>
        <v>Bhupinder Kaur</v>
      </c>
      <c r="E401" s="1" t="str">
        <f ca="1">IFERROR(__xludf.DUMMYFUNCTION("""COMPUTED_VALUE"""),"Lecturer")</f>
        <v>Lecturer</v>
      </c>
      <c r="F401" s="1" t="str">
        <f ca="1">IFERROR(__xludf.DUMMYFUNCTION("""COMPUTED_VALUE"""),"bhupinderk606@gmail.com")</f>
        <v>bhupinderk606@gmail.com</v>
      </c>
      <c r="G401" s="1">
        <f ca="1">IFERROR(__xludf.DUMMYFUNCTION("""COMPUTED_VALUE"""),9041273758)</f>
        <v>9041273758</v>
      </c>
    </row>
    <row r="402" spans="1:7" x14ac:dyDescent="0.3">
      <c r="A402" s="1" t="str">
        <f ca="1">IFERROR(__xludf.DUMMYFUNCTION("""COMPUTED_VALUE"""),"Governement Polytechnic College, Patiala")</f>
        <v>Governement Polytechnic College, Patiala</v>
      </c>
      <c r="B402" s="1" t="str">
        <f ca="1">IFERROR(__xludf.DUMMYFUNCTION("""COMPUTED_VALUE"""),"Patiala")</f>
        <v>Patiala</v>
      </c>
      <c r="C402" s="1" t="str">
        <f ca="1">IFERROR(__xludf.DUMMYFUNCTION("""COMPUTED_VALUE"""),"Applied Science")</f>
        <v>Applied Science</v>
      </c>
      <c r="D402" s="1" t="str">
        <f ca="1">IFERROR(__xludf.DUMMYFUNCTION("""COMPUTED_VALUE"""),"Chitranjan Kumar")</f>
        <v>Chitranjan Kumar</v>
      </c>
      <c r="E402" s="1" t="str">
        <f ca="1">IFERROR(__xludf.DUMMYFUNCTION("""COMPUTED_VALUE"""),"HOD")</f>
        <v>HOD</v>
      </c>
      <c r="F402" s="1" t="str">
        <f ca="1">IFERROR(__xludf.DUMMYFUNCTION("""COMPUTED_VALUE"""),"chkapila.1972@gmail.com")</f>
        <v>chkapila.1972@gmail.com</v>
      </c>
      <c r="G402" s="1">
        <f ca="1">IFERROR(__xludf.DUMMYFUNCTION("""COMPUTED_VALUE"""),7009110372)</f>
        <v>7009110372</v>
      </c>
    </row>
    <row r="403" spans="1:7" x14ac:dyDescent="0.3">
      <c r="A403" s="1" t="str">
        <f ca="1">IFERROR(__xludf.DUMMYFUNCTION("""COMPUTED_VALUE"""),"Governement Polytechnic College, Patiala")</f>
        <v>Governement Polytechnic College, Patiala</v>
      </c>
      <c r="B403" s="1" t="str">
        <f ca="1">IFERROR(__xludf.DUMMYFUNCTION("""COMPUTED_VALUE"""),"Patiala")</f>
        <v>Patiala</v>
      </c>
      <c r="C403" s="1" t="str">
        <f ca="1">IFERROR(__xludf.DUMMYFUNCTION("""COMPUTED_VALUE"""),"Computer Science and Engineering")</f>
        <v>Computer Science and Engineering</v>
      </c>
      <c r="D403" s="1" t="str">
        <f ca="1">IFERROR(__xludf.DUMMYFUNCTION("""COMPUTED_VALUE"""),"Dharminder Singh")</f>
        <v>Dharminder Singh</v>
      </c>
      <c r="E403" s="1" t="str">
        <f ca="1">IFERROR(__xludf.DUMMYFUNCTION("""COMPUTED_VALUE"""),"Sr. Lecturer")</f>
        <v>Sr. Lecturer</v>
      </c>
      <c r="F403" s="1" t="str">
        <f ca="1">IFERROR(__xludf.DUMMYFUNCTION("""COMPUTED_VALUE"""),"dscpatiala@gmail.com")</f>
        <v>dscpatiala@gmail.com</v>
      </c>
      <c r="G403" s="1">
        <f ca="1">IFERROR(__xludf.DUMMYFUNCTION("""COMPUTED_VALUE"""),9779145145)</f>
        <v>9779145145</v>
      </c>
    </row>
    <row r="404" spans="1:7" x14ac:dyDescent="0.3">
      <c r="A404" s="1" t="str">
        <f ca="1">IFERROR(__xludf.DUMMYFUNCTION("""COMPUTED_VALUE"""),"Governement Polytechnic College, Patiala")</f>
        <v>Governement Polytechnic College, Patiala</v>
      </c>
      <c r="B404" s="1" t="str">
        <f ca="1">IFERROR(__xludf.DUMMYFUNCTION("""COMPUTED_VALUE"""),"Patiala")</f>
        <v>Patiala</v>
      </c>
      <c r="C404" s="1" t="str">
        <f ca="1">IFERROR(__xludf.DUMMYFUNCTION("""COMPUTED_VALUE"""),"Electronics and Communications Engineering")</f>
        <v>Electronics and Communications Engineering</v>
      </c>
      <c r="D404" s="1" t="str">
        <f ca="1">IFERROR(__xludf.DUMMYFUNCTION("""COMPUTED_VALUE"""),"Gourav Badhwar")</f>
        <v>Gourav Badhwar</v>
      </c>
      <c r="E404" s="1" t="str">
        <f ca="1">IFERROR(__xludf.DUMMYFUNCTION("""COMPUTED_VALUE"""),"Lecturer")</f>
        <v>Lecturer</v>
      </c>
      <c r="F404" s="1" t="str">
        <f ca="1">IFERROR(__xludf.DUMMYFUNCTION("""COMPUTED_VALUE"""),"badhwargaurav@gmail.com")</f>
        <v>badhwargaurav@gmail.com</v>
      </c>
      <c r="G404" s="1">
        <f ca="1">IFERROR(__xludf.DUMMYFUNCTION("""COMPUTED_VALUE"""),9872484232)</f>
        <v>9872484232</v>
      </c>
    </row>
    <row r="405" spans="1:7" x14ac:dyDescent="0.3">
      <c r="A405" s="1" t="str">
        <f ca="1">IFERROR(__xludf.DUMMYFUNCTION("""COMPUTED_VALUE"""),"Governement Polytechnic College, Patiala")</f>
        <v>Governement Polytechnic College, Patiala</v>
      </c>
      <c r="B405" s="1" t="str">
        <f ca="1">IFERROR(__xludf.DUMMYFUNCTION("""COMPUTED_VALUE"""),"Patiala")</f>
        <v>Patiala</v>
      </c>
      <c r="C405" s="1" t="str">
        <f ca="1">IFERROR(__xludf.DUMMYFUNCTION("""COMPUTED_VALUE"""),"Pharmacy")</f>
        <v>Pharmacy</v>
      </c>
      <c r="D405" s="1" t="str">
        <f ca="1">IFERROR(__xludf.DUMMYFUNCTION("""COMPUTED_VALUE"""),"Hardeep Kaur")</f>
        <v>Hardeep Kaur</v>
      </c>
      <c r="E405" s="1" t="str">
        <f ca="1">IFERROR(__xludf.DUMMYFUNCTION("""COMPUTED_VALUE"""),"Lecturer")</f>
        <v>Lecturer</v>
      </c>
      <c r="F405" s="1" t="str">
        <f ca="1">IFERROR(__xludf.DUMMYFUNCTION("""COMPUTED_VALUE"""),"hardeepgpc@gmail.com")</f>
        <v>hardeepgpc@gmail.com</v>
      </c>
      <c r="G405" s="1">
        <f ca="1">IFERROR(__xludf.DUMMYFUNCTION("""COMPUTED_VALUE"""),9463962815)</f>
        <v>9463962815</v>
      </c>
    </row>
    <row r="406" spans="1:7" x14ac:dyDescent="0.3">
      <c r="A406" s="1" t="str">
        <f ca="1">IFERROR(__xludf.DUMMYFUNCTION("""COMPUTED_VALUE"""),"Governement Polytechnic College, Patiala")</f>
        <v>Governement Polytechnic College, Patiala</v>
      </c>
      <c r="B406" s="1" t="str">
        <f ca="1">IFERROR(__xludf.DUMMYFUNCTION("""COMPUTED_VALUE"""),"Patiala")</f>
        <v>Patiala</v>
      </c>
      <c r="C406" s="1" t="str">
        <f ca="1">IFERROR(__xludf.DUMMYFUNCTION("""COMPUTED_VALUE"""),"Workshop")</f>
        <v>Workshop</v>
      </c>
      <c r="D406" s="1" t="str">
        <f ca="1">IFERROR(__xludf.DUMMYFUNCTION("""COMPUTED_VALUE"""),"Harinder singh")</f>
        <v>Harinder singh</v>
      </c>
      <c r="E406" s="1" t="str">
        <f ca="1">IFERROR(__xludf.DUMMYFUNCTION("""COMPUTED_VALUE"""),"Foreman Instructor")</f>
        <v>Foreman Instructor</v>
      </c>
      <c r="F406" s="1" t="str">
        <f ca="1">IFERROR(__xludf.DUMMYFUNCTION("""COMPUTED_VALUE"""),"harinderpat@gmail.com")</f>
        <v>harinderpat@gmail.com</v>
      </c>
      <c r="G406" s="1">
        <f ca="1">IFERROR(__xludf.DUMMYFUNCTION("""COMPUTED_VALUE"""),9501015186)</f>
        <v>9501015186</v>
      </c>
    </row>
    <row r="407" spans="1:7" x14ac:dyDescent="0.3">
      <c r="A407" s="1" t="str">
        <f ca="1">IFERROR(__xludf.DUMMYFUNCTION("""COMPUTED_VALUE"""),"Governement Polytechnic College, Patiala")</f>
        <v>Governement Polytechnic College, Patiala</v>
      </c>
      <c r="B407" s="1" t="str">
        <f ca="1">IFERROR(__xludf.DUMMYFUNCTION("""COMPUTED_VALUE"""),"Patiala")</f>
        <v>Patiala</v>
      </c>
      <c r="C407" s="1" t="str">
        <f ca="1">IFERROR(__xludf.DUMMYFUNCTION("""COMPUTED_VALUE"""),"Workshop")</f>
        <v>Workshop</v>
      </c>
      <c r="D407" s="1" t="str">
        <f ca="1">IFERROR(__xludf.DUMMYFUNCTION("""COMPUTED_VALUE"""),"Harpreet Pal singh")</f>
        <v>Harpreet Pal singh</v>
      </c>
      <c r="E407" s="1" t="str">
        <f ca="1">IFERROR(__xludf.DUMMYFUNCTION("""COMPUTED_VALUE"""),"Workshop Superintendent")</f>
        <v>Workshop Superintendent</v>
      </c>
      <c r="F407" s="1" t="str">
        <f ca="1">IFERROR(__xludf.DUMMYFUNCTION("""COMPUTED_VALUE"""),"harpreet1890@gmail.com")</f>
        <v>harpreet1890@gmail.com</v>
      </c>
      <c r="G407" s="1">
        <f ca="1">IFERROR(__xludf.DUMMYFUNCTION("""COMPUTED_VALUE"""),9877728921)</f>
        <v>9877728921</v>
      </c>
    </row>
    <row r="408" spans="1:7" x14ac:dyDescent="0.3">
      <c r="A408" s="1" t="str">
        <f ca="1">IFERROR(__xludf.DUMMYFUNCTION("""COMPUTED_VALUE"""),"Governement Polytechnic College, Patiala")</f>
        <v>Governement Polytechnic College, Patiala</v>
      </c>
      <c r="B408" s="1" t="str">
        <f ca="1">IFERROR(__xludf.DUMMYFUNCTION("""COMPUTED_VALUE"""),"Patiala")</f>
        <v>Patiala</v>
      </c>
      <c r="C408" s="1" t="str">
        <f ca="1">IFERROR(__xludf.DUMMYFUNCTION("""COMPUTED_VALUE"""),"Applied Science")</f>
        <v>Applied Science</v>
      </c>
      <c r="D408" s="1" t="str">
        <f ca="1">IFERROR(__xludf.DUMMYFUNCTION("""COMPUTED_VALUE"""),"Inderjeet singh")</f>
        <v>Inderjeet singh</v>
      </c>
      <c r="E408" s="1" t="str">
        <f ca="1">IFERROR(__xludf.DUMMYFUNCTION("""COMPUTED_VALUE"""),"Lecturer")</f>
        <v>Lecturer</v>
      </c>
      <c r="F408" s="1" t="str">
        <f ca="1">IFERROR(__xludf.DUMMYFUNCTION("""COMPUTED_VALUE"""),"inder2net@gmail.com")</f>
        <v>inder2net@gmail.com</v>
      </c>
      <c r="G408" s="1">
        <f ca="1">IFERROR(__xludf.DUMMYFUNCTION("""COMPUTED_VALUE"""),9814790777)</f>
        <v>9814790777</v>
      </c>
    </row>
    <row r="409" spans="1:7" x14ac:dyDescent="0.3">
      <c r="A409" s="1" t="str">
        <f ca="1">IFERROR(__xludf.DUMMYFUNCTION("""COMPUTED_VALUE"""),"Governement Polytechnic College, Patiala")</f>
        <v>Governement Polytechnic College, Patiala</v>
      </c>
      <c r="B409" s="1" t="str">
        <f ca="1">IFERROR(__xludf.DUMMYFUNCTION("""COMPUTED_VALUE"""),"Patiala")</f>
        <v>Patiala</v>
      </c>
      <c r="C409" s="1" t="str">
        <f ca="1">IFERROR(__xludf.DUMMYFUNCTION("""COMPUTED_VALUE"""),"Principal")</f>
        <v>Principal</v>
      </c>
      <c r="D409" s="1" t="str">
        <f ca="1">IFERROR(__xludf.DUMMYFUNCTION("""COMPUTED_VALUE"""),"Jagdev Singh Kaleka")</f>
        <v>Jagdev Singh Kaleka</v>
      </c>
      <c r="E409" s="1" t="str">
        <f ca="1">IFERROR(__xludf.DUMMYFUNCTION("""COMPUTED_VALUE"""),"Principal")</f>
        <v>Principal</v>
      </c>
      <c r="F409" s="1" t="str">
        <f ca="1">IFERROR(__xludf.DUMMYFUNCTION("""COMPUTED_VALUE"""),"kalekajs@gmail.com")</f>
        <v>kalekajs@gmail.com</v>
      </c>
      <c r="G409" s="1">
        <f ca="1">IFERROR(__xludf.DUMMYFUNCTION("""COMPUTED_VALUE"""),9023077730)</f>
        <v>9023077730</v>
      </c>
    </row>
    <row r="410" spans="1:7" x14ac:dyDescent="0.3">
      <c r="A410" s="1" t="str">
        <f ca="1">IFERROR(__xludf.DUMMYFUNCTION("""COMPUTED_VALUE"""),"Governement Polytechnic College, Patiala")</f>
        <v>Governement Polytechnic College, Patiala</v>
      </c>
      <c r="B410" s="1" t="str">
        <f ca="1">IFERROR(__xludf.DUMMYFUNCTION("""COMPUTED_VALUE"""),"Patiala")</f>
        <v>Patiala</v>
      </c>
      <c r="C410" s="1" t="str">
        <f ca="1">IFERROR(__xludf.DUMMYFUNCTION("""COMPUTED_VALUE"""),"Medical Lab Technology")</f>
        <v>Medical Lab Technology</v>
      </c>
      <c r="D410" s="1" t="str">
        <f ca="1">IFERROR(__xludf.DUMMYFUNCTION("""COMPUTED_VALUE"""),"Jagminder Kaur")</f>
        <v>Jagminder Kaur</v>
      </c>
      <c r="E410" s="1" t="str">
        <f ca="1">IFERROR(__xludf.DUMMYFUNCTION("""COMPUTED_VALUE"""),"HOD")</f>
        <v>HOD</v>
      </c>
      <c r="F410" s="1" t="str">
        <f ca="1">IFERROR(__xludf.DUMMYFUNCTION("""COMPUTED_VALUE"""),"jagmindermann69@gmail.com")</f>
        <v>jagmindermann69@gmail.com</v>
      </c>
      <c r="G410" s="1">
        <f ca="1">IFERROR(__xludf.DUMMYFUNCTION("""COMPUTED_VALUE"""),9914515441)</f>
        <v>9914515441</v>
      </c>
    </row>
    <row r="411" spans="1:7" x14ac:dyDescent="0.3">
      <c r="A411" s="1" t="str">
        <f ca="1">IFERROR(__xludf.DUMMYFUNCTION("""COMPUTED_VALUE"""),"Governement Polytechnic College, Patiala")</f>
        <v>Governement Polytechnic College, Patiala</v>
      </c>
      <c r="B411" s="1" t="str">
        <f ca="1">IFERROR(__xludf.DUMMYFUNCTION("""COMPUTED_VALUE"""),"Patiala")</f>
        <v>Patiala</v>
      </c>
      <c r="C411" s="1" t="str">
        <f ca="1">IFERROR(__xludf.DUMMYFUNCTION("""COMPUTED_VALUE"""),"Pharmacy")</f>
        <v>Pharmacy</v>
      </c>
      <c r="D411" s="1" t="str">
        <f ca="1">IFERROR(__xludf.DUMMYFUNCTION("""COMPUTED_VALUE"""),"Jaspreet Singh")</f>
        <v>Jaspreet Singh</v>
      </c>
      <c r="E411" s="1" t="str">
        <f ca="1">IFERROR(__xludf.DUMMYFUNCTION("""COMPUTED_VALUE"""),"Lecturer")</f>
        <v>Lecturer</v>
      </c>
      <c r="F411" s="1" t="str">
        <f ca="1">IFERROR(__xludf.DUMMYFUNCTION("""COMPUTED_VALUE"""),"gpcgjs@gmail.com")</f>
        <v>gpcgjs@gmail.com</v>
      </c>
      <c r="G411" s="1">
        <f ca="1">IFERROR(__xludf.DUMMYFUNCTION("""COMPUTED_VALUE"""),9646001024)</f>
        <v>9646001024</v>
      </c>
    </row>
    <row r="412" spans="1:7" x14ac:dyDescent="0.3">
      <c r="A412" s="1" t="str">
        <f ca="1">IFERROR(__xludf.DUMMYFUNCTION("""COMPUTED_VALUE"""),"Governement Polytechnic College, Patiala")</f>
        <v>Governement Polytechnic College, Patiala</v>
      </c>
      <c r="B412" s="1" t="str">
        <f ca="1">IFERROR(__xludf.DUMMYFUNCTION("""COMPUTED_VALUE"""),"Patiala")</f>
        <v>Patiala</v>
      </c>
      <c r="C412" s="1" t="str">
        <f ca="1">IFERROR(__xludf.DUMMYFUNCTION("""COMPUTED_VALUE"""),"Architecture Assistanceship")</f>
        <v>Architecture Assistanceship</v>
      </c>
      <c r="D412" s="1" t="str">
        <f ca="1">IFERROR(__xludf.DUMMYFUNCTION("""COMPUTED_VALUE"""),"Kanwaljeet Kaur Dharia")</f>
        <v>Kanwaljeet Kaur Dharia</v>
      </c>
      <c r="E412" s="1" t="str">
        <f ca="1">IFERROR(__xludf.DUMMYFUNCTION("""COMPUTED_VALUE"""),"Lecturer")</f>
        <v>Lecturer</v>
      </c>
      <c r="F412" s="1" t="str">
        <f ca="1">IFERROR(__xludf.DUMMYFUNCTION("""COMPUTED_VALUE"""),"kanwaljit186@gmail.com")</f>
        <v>kanwaljit186@gmail.com</v>
      </c>
      <c r="G412" s="1">
        <f ca="1">IFERROR(__xludf.DUMMYFUNCTION("""COMPUTED_VALUE"""),9877641090)</f>
        <v>9877641090</v>
      </c>
    </row>
    <row r="413" spans="1:7" x14ac:dyDescent="0.3">
      <c r="A413" s="1" t="str">
        <f ca="1">IFERROR(__xludf.DUMMYFUNCTION("""COMPUTED_VALUE"""),"Governement Polytechnic College, Patiala")</f>
        <v>Governement Polytechnic College, Patiala</v>
      </c>
      <c r="B413" s="1" t="str">
        <f ca="1">IFERROR(__xludf.DUMMYFUNCTION("""COMPUTED_VALUE"""),"Patiala")</f>
        <v>Patiala</v>
      </c>
      <c r="C413" s="1" t="str">
        <f ca="1">IFERROR(__xludf.DUMMYFUNCTION("""COMPUTED_VALUE"""),"Computer Science and Engineering")</f>
        <v>Computer Science and Engineering</v>
      </c>
      <c r="D413" s="1" t="str">
        <f ca="1">IFERROR(__xludf.DUMMYFUNCTION("""COMPUTED_VALUE"""),"Lalitmaan singh")</f>
        <v>Lalitmaan singh</v>
      </c>
      <c r="E413" s="1" t="str">
        <f ca="1">IFERROR(__xludf.DUMMYFUNCTION("""COMPUTED_VALUE"""),"Lecturer")</f>
        <v>Lecturer</v>
      </c>
      <c r="F413" s="1" t="str">
        <f ca="1">IFERROR(__xludf.DUMMYFUNCTION("""COMPUTED_VALUE"""),"Lalitmann19@gmail.com")</f>
        <v>Lalitmann19@gmail.com</v>
      </c>
      <c r="G413" s="1">
        <f ca="1">IFERROR(__xludf.DUMMYFUNCTION("""COMPUTED_VALUE"""),9878988066)</f>
        <v>9878988066</v>
      </c>
    </row>
    <row r="414" spans="1:7" x14ac:dyDescent="0.3">
      <c r="A414" s="1" t="str">
        <f ca="1">IFERROR(__xludf.DUMMYFUNCTION("""COMPUTED_VALUE"""),"Governement Polytechnic College, Patiala")</f>
        <v>Governement Polytechnic College, Patiala</v>
      </c>
      <c r="B414" s="1" t="str">
        <f ca="1">IFERROR(__xludf.DUMMYFUNCTION("""COMPUTED_VALUE"""),"Patiala")</f>
        <v>Patiala</v>
      </c>
      <c r="C414" s="1" t="str">
        <f ca="1">IFERROR(__xludf.DUMMYFUNCTION("""COMPUTED_VALUE"""),"Architecture Assistanceship")</f>
        <v>Architecture Assistanceship</v>
      </c>
      <c r="D414" s="1" t="str">
        <f ca="1">IFERROR(__xludf.DUMMYFUNCTION("""COMPUTED_VALUE"""),"Manish Kumar")</f>
        <v>Manish Kumar</v>
      </c>
      <c r="E414" s="1" t="str">
        <f ca="1">IFERROR(__xludf.DUMMYFUNCTION("""COMPUTED_VALUE"""),"Sr. Lecturer")</f>
        <v>Sr. Lecturer</v>
      </c>
      <c r="F414" s="1" t="str">
        <f ca="1">IFERROR(__xludf.DUMMYFUNCTION("""COMPUTED_VALUE"""),"architectmanishkumarcca@gmail.com")</f>
        <v>architectmanishkumarcca@gmail.com</v>
      </c>
      <c r="G414" s="1">
        <f ca="1">IFERROR(__xludf.DUMMYFUNCTION("""COMPUTED_VALUE"""),9417461632)</f>
        <v>9417461632</v>
      </c>
    </row>
    <row r="415" spans="1:7" x14ac:dyDescent="0.3">
      <c r="A415" s="1" t="str">
        <f ca="1">IFERROR(__xludf.DUMMYFUNCTION("""COMPUTED_VALUE"""),"Governement Polytechnic College, Patiala")</f>
        <v>Governement Polytechnic College, Patiala</v>
      </c>
      <c r="B415" s="1" t="str">
        <f ca="1">IFERROR(__xludf.DUMMYFUNCTION("""COMPUTED_VALUE"""),"Patiala")</f>
        <v>Patiala</v>
      </c>
      <c r="C415" s="1" t="str">
        <f ca="1">IFERROR(__xludf.DUMMYFUNCTION("""COMPUTED_VALUE"""),"Applied Science")</f>
        <v>Applied Science</v>
      </c>
      <c r="D415" s="1" t="str">
        <f ca="1">IFERROR(__xludf.DUMMYFUNCTION("""COMPUTED_VALUE"""),"Manpreet Kaur")</f>
        <v>Manpreet Kaur</v>
      </c>
      <c r="E415" s="1" t="str">
        <f ca="1">IFERROR(__xludf.DUMMYFUNCTION("""COMPUTED_VALUE"""),"Lecturer")</f>
        <v>Lecturer</v>
      </c>
      <c r="F415" s="1" t="str">
        <f ca="1">IFERROR(__xludf.DUMMYFUNCTION("""COMPUTED_VALUE"""),"lecturermanpreet@gmail.com")</f>
        <v>lecturermanpreet@gmail.com</v>
      </c>
      <c r="G415" s="1">
        <f ca="1">IFERROR(__xludf.DUMMYFUNCTION("""COMPUTED_VALUE"""),9501389222)</f>
        <v>9501389222</v>
      </c>
    </row>
    <row r="416" spans="1:7" x14ac:dyDescent="0.3">
      <c r="A416" s="1" t="str">
        <f ca="1">IFERROR(__xludf.DUMMYFUNCTION("""COMPUTED_VALUE"""),"Governement Polytechnic College, Patiala")</f>
        <v>Governement Polytechnic College, Patiala</v>
      </c>
      <c r="B416" s="1" t="str">
        <f ca="1">IFERROR(__xludf.DUMMYFUNCTION("""COMPUTED_VALUE"""),"Patiala")</f>
        <v>Patiala</v>
      </c>
      <c r="C416" s="1" t="str">
        <f ca="1">IFERROR(__xludf.DUMMYFUNCTION("""COMPUTED_VALUE"""),"Modern Office Practice")</f>
        <v>Modern Office Practice</v>
      </c>
      <c r="D416" s="1" t="str">
        <f ca="1">IFERROR(__xludf.DUMMYFUNCTION("""COMPUTED_VALUE"""),"Manpreet Kaur Saggu")</f>
        <v>Manpreet Kaur Saggu</v>
      </c>
      <c r="E416" s="1" t="str">
        <f ca="1">IFERROR(__xludf.DUMMYFUNCTION("""COMPUTED_VALUE"""),"Lecturer")</f>
        <v>Lecturer</v>
      </c>
      <c r="F416" s="1" t="str">
        <f ca="1">IFERROR(__xludf.DUMMYFUNCTION("""COMPUTED_VALUE"""),"mkaur6781@gmail.com ")</f>
        <v xml:space="preserve">mkaur6781@gmail.com </v>
      </c>
      <c r="G416" s="1">
        <f ca="1">IFERROR(__xludf.DUMMYFUNCTION("""COMPUTED_VALUE"""),9417256968)</f>
        <v>9417256968</v>
      </c>
    </row>
    <row r="417" spans="1:7" x14ac:dyDescent="0.3">
      <c r="A417" s="1" t="str">
        <f ca="1">IFERROR(__xludf.DUMMYFUNCTION("""COMPUTED_VALUE"""),"Governement Polytechnic College, Patiala")</f>
        <v>Governement Polytechnic College, Patiala</v>
      </c>
      <c r="B417" s="1" t="str">
        <f ca="1">IFERROR(__xludf.DUMMYFUNCTION("""COMPUTED_VALUE"""),"Patiala")</f>
        <v>Patiala</v>
      </c>
      <c r="C417" s="1" t="str">
        <f ca="1">IFERROR(__xludf.DUMMYFUNCTION("""COMPUTED_VALUE"""),"Pharmacy")</f>
        <v>Pharmacy</v>
      </c>
      <c r="D417" s="1" t="str">
        <f ca="1">IFERROR(__xludf.DUMMYFUNCTION("""COMPUTED_VALUE"""),"Meenu Goyal")</f>
        <v>Meenu Goyal</v>
      </c>
      <c r="E417" s="1" t="str">
        <f ca="1">IFERROR(__xludf.DUMMYFUNCTION("""COMPUTED_VALUE"""),"Lecturer")</f>
        <v>Lecturer</v>
      </c>
      <c r="F417" s="1" t="str">
        <f ca="1">IFERROR(__xludf.DUMMYFUNCTION("""COMPUTED_VALUE"""),"meenugoyal0505@gmail.com")</f>
        <v>meenugoyal0505@gmail.com</v>
      </c>
      <c r="G417" s="1">
        <f ca="1">IFERROR(__xludf.DUMMYFUNCTION("""COMPUTED_VALUE"""),9646100153)</f>
        <v>9646100153</v>
      </c>
    </row>
    <row r="418" spans="1:7" x14ac:dyDescent="0.3">
      <c r="A418" s="1" t="str">
        <f ca="1">IFERROR(__xludf.DUMMYFUNCTION("""COMPUTED_VALUE"""),"Governement Polytechnic College, Patiala")</f>
        <v>Governement Polytechnic College, Patiala</v>
      </c>
      <c r="B418" s="1" t="str">
        <f ca="1">IFERROR(__xludf.DUMMYFUNCTION("""COMPUTED_VALUE"""),"Patiala")</f>
        <v>Patiala</v>
      </c>
      <c r="C418" s="1" t="str">
        <f ca="1">IFERROR(__xludf.DUMMYFUNCTION("""COMPUTED_VALUE"""),"Modern Office Practice")</f>
        <v>Modern Office Practice</v>
      </c>
      <c r="D418" s="1" t="str">
        <f ca="1">IFERROR(__xludf.DUMMYFUNCTION("""COMPUTED_VALUE"""),"Monika Walia")</f>
        <v>Monika Walia</v>
      </c>
      <c r="E418" s="1" t="str">
        <f ca="1">IFERROR(__xludf.DUMMYFUNCTION("""COMPUTED_VALUE"""),"Lecturer")</f>
        <v>Lecturer</v>
      </c>
      <c r="F418" s="1" t="str">
        <f ca="1">IFERROR(__xludf.DUMMYFUNCTION("""COMPUTED_VALUE"""),"monikawalia72@gmail.com ")</f>
        <v xml:space="preserve">monikawalia72@gmail.com </v>
      </c>
      <c r="G418" s="1">
        <f ca="1">IFERROR(__xludf.DUMMYFUNCTION("""COMPUTED_VALUE"""),9855445525)</f>
        <v>9855445525</v>
      </c>
    </row>
    <row r="419" spans="1:7" x14ac:dyDescent="0.3">
      <c r="A419" s="1" t="str">
        <f ca="1">IFERROR(__xludf.DUMMYFUNCTION("""COMPUTED_VALUE"""),"Governement Polytechnic College, Patiala")</f>
        <v>Governement Polytechnic College, Patiala</v>
      </c>
      <c r="B419" s="1" t="str">
        <f ca="1">IFERROR(__xludf.DUMMYFUNCTION("""COMPUTED_VALUE"""),"Patiala")</f>
        <v>Patiala</v>
      </c>
      <c r="C419" s="1" t="str">
        <f ca="1">IFERROR(__xludf.DUMMYFUNCTION("""COMPUTED_VALUE"""),"Electronics and Communications Engineering")</f>
        <v>Electronics and Communications Engineering</v>
      </c>
      <c r="D419" s="1" t="str">
        <f ca="1">IFERROR(__xludf.DUMMYFUNCTION("""COMPUTED_VALUE"""),"Mukul Mittal")</f>
        <v>Mukul Mittal</v>
      </c>
      <c r="E419" s="1" t="str">
        <f ca="1">IFERROR(__xludf.DUMMYFUNCTION("""COMPUTED_VALUE"""),"Lecturer")</f>
        <v>Lecturer</v>
      </c>
      <c r="F419" s="1" t="str">
        <f ca="1">IFERROR(__xludf.DUMMYFUNCTION("""COMPUTED_VALUE"""),"mukulmittal85 @gmail.com")</f>
        <v>mukulmittal85 @gmail.com</v>
      </c>
      <c r="G419" s="1">
        <f ca="1">IFERROR(__xludf.DUMMYFUNCTION("""COMPUTED_VALUE"""),9463376309)</f>
        <v>9463376309</v>
      </c>
    </row>
    <row r="420" spans="1:7" x14ac:dyDescent="0.3">
      <c r="A420" s="1" t="str">
        <f ca="1">IFERROR(__xludf.DUMMYFUNCTION("""COMPUTED_VALUE"""),"Governement Polytechnic College, Patiala")</f>
        <v>Governement Polytechnic College, Patiala</v>
      </c>
      <c r="B420" s="1" t="str">
        <f ca="1">IFERROR(__xludf.DUMMYFUNCTION("""COMPUTED_VALUE"""),"Patiala")</f>
        <v>Patiala</v>
      </c>
      <c r="C420" s="1" t="str">
        <f ca="1">IFERROR(__xludf.DUMMYFUNCTION("""COMPUTED_VALUE"""),"Computer Science and Engineering")</f>
        <v>Computer Science and Engineering</v>
      </c>
      <c r="D420" s="1" t="str">
        <f ca="1">IFERROR(__xludf.DUMMYFUNCTION("""COMPUTED_VALUE"""),"Nancy Gupta")</f>
        <v>Nancy Gupta</v>
      </c>
      <c r="E420" s="1" t="str">
        <f ca="1">IFERROR(__xludf.DUMMYFUNCTION("""COMPUTED_VALUE"""),"Lecturer")</f>
        <v>Lecturer</v>
      </c>
      <c r="F420" s="1" t="str">
        <f ca="1">IFERROR(__xludf.DUMMYFUNCTION("""COMPUTED_VALUE"""),"Nancybahri@gmail.com")</f>
        <v>Nancybahri@gmail.com</v>
      </c>
      <c r="G420" s="1">
        <f ca="1">IFERROR(__xludf.DUMMYFUNCTION("""COMPUTED_VALUE"""),7814143432)</f>
        <v>7814143432</v>
      </c>
    </row>
    <row r="421" spans="1:7" x14ac:dyDescent="0.3">
      <c r="A421" s="1" t="str">
        <f ca="1">IFERROR(__xludf.DUMMYFUNCTION("""COMPUTED_VALUE"""),"Governement Polytechnic College, Patiala")</f>
        <v>Governement Polytechnic College, Patiala</v>
      </c>
      <c r="B421" s="1" t="str">
        <f ca="1">IFERROR(__xludf.DUMMYFUNCTION("""COMPUTED_VALUE"""),"Patiala")</f>
        <v>Patiala</v>
      </c>
      <c r="C421" s="1" t="str">
        <f ca="1">IFERROR(__xludf.DUMMYFUNCTION("""COMPUTED_VALUE"""),"Computer Science and Engineering")</f>
        <v>Computer Science and Engineering</v>
      </c>
      <c r="D421" s="1" t="str">
        <f ca="1">IFERROR(__xludf.DUMMYFUNCTION("""COMPUTED_VALUE"""),"Narinder Singh Dhindsa")</f>
        <v>Narinder Singh Dhindsa</v>
      </c>
      <c r="E421" s="1" t="str">
        <f ca="1">IFERROR(__xludf.DUMMYFUNCTION("""COMPUTED_VALUE"""),"HOD")</f>
        <v>HOD</v>
      </c>
      <c r="F421" s="1" t="str">
        <f ca="1">IFERROR(__xludf.DUMMYFUNCTION("""COMPUTED_VALUE"""),"narinder.dhindsa@gmail.com")</f>
        <v>narinder.dhindsa@gmail.com</v>
      </c>
      <c r="G421" s="1">
        <f ca="1">IFERROR(__xludf.DUMMYFUNCTION("""COMPUTED_VALUE"""),9781616015)</f>
        <v>9781616015</v>
      </c>
    </row>
    <row r="422" spans="1:7" x14ac:dyDescent="0.3">
      <c r="A422" s="1" t="str">
        <f ca="1">IFERROR(__xludf.DUMMYFUNCTION("""COMPUTED_VALUE"""),"Governement Polytechnic College, Patiala")</f>
        <v>Governement Polytechnic College, Patiala</v>
      </c>
      <c r="B422" s="1" t="str">
        <f ca="1">IFERROR(__xludf.DUMMYFUNCTION("""COMPUTED_VALUE"""),"Patiala")</f>
        <v>Patiala</v>
      </c>
      <c r="C422" s="1" t="str">
        <f ca="1">IFERROR(__xludf.DUMMYFUNCTION("""COMPUTED_VALUE"""),"Civil Engineering")</f>
        <v>Civil Engineering</v>
      </c>
      <c r="D422" s="1" t="str">
        <f ca="1">IFERROR(__xludf.DUMMYFUNCTION("""COMPUTED_VALUE"""),"Navdeep Singh")</f>
        <v>Navdeep Singh</v>
      </c>
      <c r="E422" s="1" t="str">
        <f ca="1">IFERROR(__xludf.DUMMYFUNCTION("""COMPUTED_VALUE"""),"Lecturer")</f>
        <v>Lecturer</v>
      </c>
      <c r="F422" s="1" t="str">
        <f ca="1">IFERROR(__xludf.DUMMYFUNCTION("""COMPUTED_VALUE"""),"navdeepcivilian@gmail.com")</f>
        <v>navdeepcivilian@gmail.com</v>
      </c>
      <c r="G422" s="1">
        <f ca="1">IFERROR(__xludf.DUMMYFUNCTION("""COMPUTED_VALUE"""),9463050789)</f>
        <v>9463050789</v>
      </c>
    </row>
    <row r="423" spans="1:7" x14ac:dyDescent="0.3">
      <c r="A423" s="1" t="str">
        <f ca="1">IFERROR(__xludf.DUMMYFUNCTION("""COMPUTED_VALUE"""),"Governement Polytechnic College, Patiala")</f>
        <v>Governement Polytechnic College, Patiala</v>
      </c>
      <c r="B423" s="1" t="str">
        <f ca="1">IFERROR(__xludf.DUMMYFUNCTION("""COMPUTED_VALUE"""),"Patiala")</f>
        <v>Patiala</v>
      </c>
      <c r="C423" s="1" t="str">
        <f ca="1">IFERROR(__xludf.DUMMYFUNCTION("""COMPUTED_VALUE"""),"Modern Office Practice")</f>
        <v>Modern Office Practice</v>
      </c>
      <c r="D423" s="1" t="str">
        <f ca="1">IFERROR(__xludf.DUMMYFUNCTION("""COMPUTED_VALUE"""),"Navjeet Kaur Grewal")</f>
        <v>Navjeet Kaur Grewal</v>
      </c>
      <c r="E423" s="1" t="str">
        <f ca="1">IFERROR(__xludf.DUMMYFUNCTION("""COMPUTED_VALUE"""),"HOD")</f>
        <v>HOD</v>
      </c>
      <c r="F423" s="1" t="str">
        <f ca="1">IFERROR(__xludf.DUMMYFUNCTION("""COMPUTED_VALUE"""),"navjeetgrewal77@gmail.com")</f>
        <v>navjeetgrewal77@gmail.com</v>
      </c>
      <c r="G423" s="1">
        <f ca="1">IFERROR(__xludf.DUMMYFUNCTION("""COMPUTED_VALUE"""),9501994900)</f>
        <v>9501994900</v>
      </c>
    </row>
    <row r="424" spans="1:7" x14ac:dyDescent="0.3">
      <c r="A424" s="1" t="str">
        <f ca="1">IFERROR(__xludf.DUMMYFUNCTION("""COMPUTED_VALUE"""),"Governement Polytechnic College, Patiala")</f>
        <v>Governement Polytechnic College, Patiala</v>
      </c>
      <c r="B424" s="1" t="str">
        <f ca="1">IFERROR(__xludf.DUMMYFUNCTION("""COMPUTED_VALUE"""),"Patiala")</f>
        <v>Patiala</v>
      </c>
      <c r="C424" s="1" t="str">
        <f ca="1">IFERROR(__xludf.DUMMYFUNCTION("""COMPUTED_VALUE"""),"Information Technology")</f>
        <v>Information Technology</v>
      </c>
      <c r="D424" s="1" t="str">
        <f ca="1">IFERROR(__xludf.DUMMYFUNCTION("""COMPUTED_VALUE"""),"Pankaj Kumar")</f>
        <v>Pankaj Kumar</v>
      </c>
      <c r="E424" s="1" t="str">
        <f ca="1">IFERROR(__xludf.DUMMYFUNCTION("""COMPUTED_VALUE"""),"Lecturer")</f>
        <v>Lecturer</v>
      </c>
      <c r="F424" s="1" t="str">
        <f ca="1">IFERROR(__xludf.DUMMYFUNCTION("""COMPUTED_VALUE"""),"singla.pankaj4@gmail.com")</f>
        <v>singla.pankaj4@gmail.com</v>
      </c>
      <c r="G424" s="1">
        <f ca="1">IFERROR(__xludf.DUMMYFUNCTION("""COMPUTED_VALUE"""),8968442004)</f>
        <v>8968442004</v>
      </c>
    </row>
    <row r="425" spans="1:7" x14ac:dyDescent="0.3">
      <c r="A425" s="1" t="str">
        <f ca="1">IFERROR(__xludf.DUMMYFUNCTION("""COMPUTED_VALUE"""),"Governement Polytechnic College, Patiala")</f>
        <v>Governement Polytechnic College, Patiala</v>
      </c>
      <c r="B425" s="1" t="str">
        <f ca="1">IFERROR(__xludf.DUMMYFUNCTION("""COMPUTED_VALUE"""),"Patiala")</f>
        <v>Patiala</v>
      </c>
      <c r="C425" s="1" t="str">
        <f ca="1">IFERROR(__xludf.DUMMYFUNCTION("""COMPUTED_VALUE"""),"Information Technology")</f>
        <v>Information Technology</v>
      </c>
      <c r="D425" s="1" t="str">
        <f ca="1">IFERROR(__xludf.DUMMYFUNCTION("""COMPUTED_VALUE"""),"Parul Garg")</f>
        <v>Parul Garg</v>
      </c>
      <c r="E425" s="1" t="str">
        <f ca="1">IFERROR(__xludf.DUMMYFUNCTION("""COMPUTED_VALUE"""),"Programmer")</f>
        <v>Programmer</v>
      </c>
      <c r="F425" s="1" t="str">
        <f ca="1">IFERROR(__xludf.DUMMYFUNCTION("""COMPUTED_VALUE"""),"parulgarg24@gmail.com")</f>
        <v>parulgarg24@gmail.com</v>
      </c>
      <c r="G425" s="1">
        <f ca="1">IFERROR(__xludf.DUMMYFUNCTION("""COMPUTED_VALUE"""),9803330243)</f>
        <v>9803330243</v>
      </c>
    </row>
    <row r="426" spans="1:7" x14ac:dyDescent="0.3">
      <c r="A426" s="1" t="str">
        <f ca="1">IFERROR(__xludf.DUMMYFUNCTION("""COMPUTED_VALUE"""),"Governement Polytechnic College, Patiala")</f>
        <v>Governement Polytechnic College, Patiala</v>
      </c>
      <c r="B426" s="1" t="str">
        <f ca="1">IFERROR(__xludf.DUMMYFUNCTION("""COMPUTED_VALUE"""),"Patiala")</f>
        <v>Patiala</v>
      </c>
      <c r="C426" s="1" t="str">
        <f ca="1">IFERROR(__xludf.DUMMYFUNCTION("""COMPUTED_VALUE"""),"Architecture Assistanceship")</f>
        <v>Architecture Assistanceship</v>
      </c>
      <c r="D426" s="1" t="str">
        <f ca="1">IFERROR(__xludf.DUMMYFUNCTION("""COMPUTED_VALUE"""),"Pearl Sidhu")</f>
        <v>Pearl Sidhu</v>
      </c>
      <c r="E426" s="1" t="str">
        <f ca="1">IFERROR(__xludf.DUMMYFUNCTION("""COMPUTED_VALUE"""),"Lecturer")</f>
        <v>Lecturer</v>
      </c>
      <c r="F426" s="1" t="str">
        <f ca="1">IFERROR(__xludf.DUMMYFUNCTION("""COMPUTED_VALUE"""),"saraopearl19 @gmail.com")</f>
        <v>saraopearl19 @gmail.com</v>
      </c>
      <c r="G426" s="1">
        <f ca="1">IFERROR(__xludf.DUMMYFUNCTION("""COMPUTED_VALUE"""),9815024611)</f>
        <v>9815024611</v>
      </c>
    </row>
    <row r="427" spans="1:7" x14ac:dyDescent="0.3">
      <c r="A427" s="1" t="str">
        <f ca="1">IFERROR(__xludf.DUMMYFUNCTION("""COMPUTED_VALUE"""),"Governement Polytechnic College, Patiala")</f>
        <v>Governement Polytechnic College, Patiala</v>
      </c>
      <c r="B427" s="1" t="str">
        <f ca="1">IFERROR(__xludf.DUMMYFUNCTION("""COMPUTED_VALUE"""),"Patiala")</f>
        <v>Patiala</v>
      </c>
      <c r="C427" s="1" t="str">
        <f ca="1">IFERROR(__xludf.DUMMYFUNCTION("""COMPUTED_VALUE"""),"Pharmacy")</f>
        <v>Pharmacy</v>
      </c>
      <c r="D427" s="1" t="str">
        <f ca="1">IFERROR(__xludf.DUMMYFUNCTION("""COMPUTED_VALUE"""),"Preet Kanwal")</f>
        <v>Preet Kanwal</v>
      </c>
      <c r="E427" s="1" t="str">
        <f ca="1">IFERROR(__xludf.DUMMYFUNCTION("""COMPUTED_VALUE"""),"Lab Technician")</f>
        <v>Lab Technician</v>
      </c>
      <c r="F427" s="1" t="str">
        <f ca="1">IFERROR(__xludf.DUMMYFUNCTION("""COMPUTED_VALUE"""),"kanwalpreet9577@yahoo.co.in")</f>
        <v>kanwalpreet9577@yahoo.co.in</v>
      </c>
      <c r="G427" s="1">
        <f ca="1">IFERROR(__xludf.DUMMYFUNCTION("""COMPUTED_VALUE"""),9501039000)</f>
        <v>9501039000</v>
      </c>
    </row>
    <row r="428" spans="1:7" x14ac:dyDescent="0.3">
      <c r="A428" s="1" t="str">
        <f ca="1">IFERROR(__xludf.DUMMYFUNCTION("""COMPUTED_VALUE"""),"Governement Polytechnic College, Patiala")</f>
        <v>Governement Polytechnic College, Patiala</v>
      </c>
      <c r="B428" s="1" t="str">
        <f ca="1">IFERROR(__xludf.DUMMYFUNCTION("""COMPUTED_VALUE"""),"Patiala")</f>
        <v>Patiala</v>
      </c>
      <c r="C428" s="1" t="str">
        <f ca="1">IFERROR(__xludf.DUMMYFUNCTION("""COMPUTED_VALUE"""),"Computer Science and Engineering")</f>
        <v>Computer Science and Engineering</v>
      </c>
      <c r="D428" s="1" t="str">
        <f ca="1">IFERROR(__xludf.DUMMYFUNCTION("""COMPUTED_VALUE"""),"Pritpal Singh")</f>
        <v>Pritpal Singh</v>
      </c>
      <c r="E428" s="1" t="str">
        <f ca="1">IFERROR(__xludf.DUMMYFUNCTION("""COMPUTED_VALUE"""),"Lecturer")</f>
        <v>Lecturer</v>
      </c>
      <c r="F428" s="1" t="str">
        <f ca="1">IFERROR(__xludf.DUMMYFUNCTION("""COMPUTED_VALUE"""),"s.pritpal505@gmail.com")</f>
        <v>s.pritpal505@gmail.com</v>
      </c>
      <c r="G428" s="1">
        <f ca="1">IFERROR(__xludf.DUMMYFUNCTION("""COMPUTED_VALUE"""),9779970979)</f>
        <v>9779970979</v>
      </c>
    </row>
    <row r="429" spans="1:7" x14ac:dyDescent="0.3">
      <c r="A429" s="1" t="str">
        <f ca="1">IFERROR(__xludf.DUMMYFUNCTION("""COMPUTED_VALUE"""),"Governement Polytechnic College, Patiala")</f>
        <v>Governement Polytechnic College, Patiala</v>
      </c>
      <c r="B429" s="1" t="str">
        <f ca="1">IFERROR(__xludf.DUMMYFUNCTION("""COMPUTED_VALUE"""),"Patiala")</f>
        <v>Patiala</v>
      </c>
      <c r="C429" s="1" t="str">
        <f ca="1">IFERROR(__xludf.DUMMYFUNCTION("""COMPUTED_VALUE"""),"Medical Lab Technology")</f>
        <v>Medical Lab Technology</v>
      </c>
      <c r="D429" s="1" t="str">
        <f ca="1">IFERROR(__xludf.DUMMYFUNCTION("""COMPUTED_VALUE"""),"Rakesh Raman Patyar")</f>
        <v>Rakesh Raman Patyar</v>
      </c>
      <c r="E429" s="1" t="str">
        <f ca="1">IFERROR(__xludf.DUMMYFUNCTION("""COMPUTED_VALUE"""),"Sr. Lecturer")</f>
        <v>Sr. Lecturer</v>
      </c>
      <c r="F429" s="1" t="str">
        <f ca="1">IFERROR(__xludf.DUMMYFUNCTION("""COMPUTED_VALUE"""),"rrppgimer@gmail.com")</f>
        <v>rrppgimer@gmail.com</v>
      </c>
      <c r="G429" s="1">
        <f ca="1">IFERROR(__xludf.DUMMYFUNCTION("""COMPUTED_VALUE"""),9814527751)</f>
        <v>9814527751</v>
      </c>
    </row>
    <row r="430" spans="1:7" x14ac:dyDescent="0.3">
      <c r="A430" s="1" t="str">
        <f ca="1">IFERROR(__xludf.DUMMYFUNCTION("""COMPUTED_VALUE"""),"Governement Polytechnic College, Patiala")</f>
        <v>Governement Polytechnic College, Patiala</v>
      </c>
      <c r="B430" s="1" t="str">
        <f ca="1">IFERROR(__xludf.DUMMYFUNCTION("""COMPUTED_VALUE"""),"Patiala")</f>
        <v>Patiala</v>
      </c>
      <c r="C430" s="1" t="str">
        <f ca="1">IFERROR(__xludf.DUMMYFUNCTION("""COMPUTED_VALUE"""),"Pharmacy")</f>
        <v>Pharmacy</v>
      </c>
      <c r="D430" s="1" t="str">
        <f ca="1">IFERROR(__xludf.DUMMYFUNCTION("""COMPUTED_VALUE"""),"Ramanpreet singh")</f>
        <v>Ramanpreet singh</v>
      </c>
      <c r="E430" s="1" t="str">
        <f ca="1">IFERROR(__xludf.DUMMYFUNCTION("""COMPUTED_VALUE"""),"Lecturer")</f>
        <v>Lecturer</v>
      </c>
      <c r="F430" s="1" t="str">
        <f ca="1">IFERROR(__xludf.DUMMYFUNCTION("""COMPUTED_VALUE"""),"ramanpreetsing@gmail.com")</f>
        <v>ramanpreetsing@gmail.com</v>
      </c>
      <c r="G430" s="1">
        <f ca="1">IFERROR(__xludf.DUMMYFUNCTION("""COMPUTED_VALUE"""),9781322893)</f>
        <v>9781322893</v>
      </c>
    </row>
    <row r="431" spans="1:7" x14ac:dyDescent="0.3">
      <c r="A431" s="1" t="str">
        <f ca="1">IFERROR(__xludf.DUMMYFUNCTION("""COMPUTED_VALUE"""),"Governement Polytechnic College, Patiala")</f>
        <v>Governement Polytechnic College, Patiala</v>
      </c>
      <c r="B431" s="1" t="str">
        <f ca="1">IFERROR(__xludf.DUMMYFUNCTION("""COMPUTED_VALUE"""),"Patiala")</f>
        <v>Patiala</v>
      </c>
      <c r="C431" s="1" t="str">
        <f ca="1">IFERROR(__xludf.DUMMYFUNCTION("""COMPUTED_VALUE"""),"Pharmacy")</f>
        <v>Pharmacy</v>
      </c>
      <c r="D431" s="1" t="str">
        <f ca="1">IFERROR(__xludf.DUMMYFUNCTION("""COMPUTED_VALUE"""),"Ravinder Singh Bhatti")</f>
        <v>Ravinder Singh Bhatti</v>
      </c>
      <c r="E431" s="1" t="str">
        <f ca="1">IFERROR(__xludf.DUMMYFUNCTION("""COMPUTED_VALUE"""),"Sr. Lecturer")</f>
        <v>Sr. Lecturer</v>
      </c>
      <c r="F431" s="1" t="str">
        <f ca="1">IFERROR(__xludf.DUMMYFUNCTION("""COMPUTED_VALUE"""),"Bhattirs@gmail.com")</f>
        <v>Bhattirs@gmail.com</v>
      </c>
      <c r="G431" s="1">
        <f ca="1">IFERROR(__xludf.DUMMYFUNCTION("""COMPUTED_VALUE"""),9501800512)</f>
        <v>9501800512</v>
      </c>
    </row>
    <row r="432" spans="1:7" x14ac:dyDescent="0.3">
      <c r="A432" s="1" t="str">
        <f ca="1">IFERROR(__xludf.DUMMYFUNCTION("""COMPUTED_VALUE"""),"Governement Polytechnic College, Patiala")</f>
        <v>Governement Polytechnic College, Patiala</v>
      </c>
      <c r="B432" s="1" t="str">
        <f ca="1">IFERROR(__xludf.DUMMYFUNCTION("""COMPUTED_VALUE"""),"Patiala")</f>
        <v>Patiala</v>
      </c>
      <c r="C432" s="1" t="str">
        <f ca="1">IFERROR(__xludf.DUMMYFUNCTION("""COMPUTED_VALUE"""),"Architecture Assistanceship")</f>
        <v>Architecture Assistanceship</v>
      </c>
      <c r="D432" s="1" t="str">
        <f ca="1">IFERROR(__xludf.DUMMYFUNCTION("""COMPUTED_VALUE"""),"Ravneet Kaur")</f>
        <v>Ravneet Kaur</v>
      </c>
      <c r="E432" s="1" t="str">
        <f ca="1">IFERROR(__xludf.DUMMYFUNCTION("""COMPUTED_VALUE"""),"HOD")</f>
        <v>HOD</v>
      </c>
      <c r="F432" s="1" t="str">
        <f ca="1">IFERROR(__xludf.DUMMYFUNCTION("""COMPUTED_VALUE"""),"ravneetsidhu09@gmail.com")</f>
        <v>ravneetsidhu09@gmail.com</v>
      </c>
      <c r="G432" s="1">
        <f ca="1">IFERROR(__xludf.DUMMYFUNCTION("""COMPUTED_VALUE"""),9501006663)</f>
        <v>9501006663</v>
      </c>
    </row>
    <row r="433" spans="1:7" x14ac:dyDescent="0.3">
      <c r="A433" s="1" t="str">
        <f ca="1">IFERROR(__xludf.DUMMYFUNCTION("""COMPUTED_VALUE"""),"Governement Polytechnic College, Patiala")</f>
        <v>Governement Polytechnic College, Patiala</v>
      </c>
      <c r="B433" s="1" t="str">
        <f ca="1">IFERROR(__xludf.DUMMYFUNCTION("""COMPUTED_VALUE"""),"Patiala")</f>
        <v>Patiala</v>
      </c>
      <c r="C433" s="1" t="str">
        <f ca="1">IFERROR(__xludf.DUMMYFUNCTION("""COMPUTED_VALUE"""),"Applied Science")</f>
        <v>Applied Science</v>
      </c>
      <c r="D433" s="1" t="str">
        <f ca="1">IFERROR(__xludf.DUMMYFUNCTION("""COMPUTED_VALUE"""),"Ramneek Kaur")</f>
        <v>Ramneek Kaur</v>
      </c>
      <c r="E433" s="1" t="str">
        <f ca="1">IFERROR(__xludf.DUMMYFUNCTION("""COMPUTED_VALUE"""),"Lecturer")</f>
        <v>Lecturer</v>
      </c>
      <c r="F433" s="1" t="str">
        <f ca="1">IFERROR(__xludf.DUMMYFUNCTION("""COMPUTED_VALUE"""),"sidhu.ramneek13@gmail.com")</f>
        <v>sidhu.ramneek13@gmail.com</v>
      </c>
      <c r="G433" s="1">
        <f ca="1">IFERROR(__xludf.DUMMYFUNCTION("""COMPUTED_VALUE"""),9464196475)</f>
        <v>9464196475</v>
      </c>
    </row>
    <row r="434" spans="1:7" x14ac:dyDescent="0.3">
      <c r="A434" s="1" t="str">
        <f ca="1">IFERROR(__xludf.DUMMYFUNCTION("""COMPUTED_VALUE"""),"Governement Polytechnic College, Patiala")</f>
        <v>Governement Polytechnic College, Patiala</v>
      </c>
      <c r="B434" s="1" t="str">
        <f ca="1">IFERROR(__xludf.DUMMYFUNCTION("""COMPUTED_VALUE"""),"Patiala")</f>
        <v>Patiala</v>
      </c>
      <c r="C434" s="1" t="str">
        <f ca="1">IFERROR(__xludf.DUMMYFUNCTION("""COMPUTED_VALUE"""),"Pharmacy")</f>
        <v>Pharmacy</v>
      </c>
      <c r="D434" s="1" t="str">
        <f ca="1">IFERROR(__xludf.DUMMYFUNCTION("""COMPUTED_VALUE"""),"Rubina Singla")</f>
        <v>Rubina Singla</v>
      </c>
      <c r="E434" s="1" t="str">
        <f ca="1">IFERROR(__xludf.DUMMYFUNCTION("""COMPUTED_VALUE"""),"Assistant Prof (Contractual basis)")</f>
        <v>Assistant Prof (Contractual basis)</v>
      </c>
      <c r="F434" s="1" t="str">
        <f ca="1">IFERROR(__xludf.DUMMYFUNCTION("""COMPUTED_VALUE"""),"rubina.311@gmail.com")</f>
        <v>rubina.311@gmail.com</v>
      </c>
      <c r="G434" s="1">
        <f ca="1">IFERROR(__xludf.DUMMYFUNCTION("""COMPUTED_VALUE"""),9501894100)</f>
        <v>9501894100</v>
      </c>
    </row>
    <row r="435" spans="1:7" x14ac:dyDescent="0.3">
      <c r="A435" s="1" t="str">
        <f ca="1">IFERROR(__xludf.DUMMYFUNCTION("""COMPUTED_VALUE"""),"Governement Polytechnic College, Patiala")</f>
        <v>Governement Polytechnic College, Patiala</v>
      </c>
      <c r="B435" s="1" t="str">
        <f ca="1">IFERROR(__xludf.DUMMYFUNCTION("""COMPUTED_VALUE"""),"Patiala")</f>
        <v>Patiala</v>
      </c>
      <c r="C435" s="1" t="str">
        <f ca="1">IFERROR(__xludf.DUMMYFUNCTION("""COMPUTED_VALUE"""),"Library &amp; Information Science")</f>
        <v>Library &amp; Information Science</v>
      </c>
      <c r="D435" s="1" t="str">
        <f ca="1">IFERROR(__xludf.DUMMYFUNCTION("""COMPUTED_VALUE"""),"Sakshi Chopra")</f>
        <v>Sakshi Chopra</v>
      </c>
      <c r="E435" s="1" t="str">
        <f ca="1">IFERROR(__xludf.DUMMYFUNCTION("""COMPUTED_VALUE"""),"Librarian")</f>
        <v>Librarian</v>
      </c>
      <c r="F435" s="1" t="str">
        <f ca="1">IFERROR(__xludf.DUMMYFUNCTION("""COMPUTED_VALUE"""),"sakshi.chopra_84@yahoo.com")</f>
        <v>sakshi.chopra_84@yahoo.com</v>
      </c>
      <c r="G435" s="1">
        <f ca="1">IFERROR(__xludf.DUMMYFUNCTION("""COMPUTED_VALUE"""),9501514800)</f>
        <v>9501514800</v>
      </c>
    </row>
    <row r="436" spans="1:7" x14ac:dyDescent="0.3">
      <c r="A436" s="1" t="str">
        <f ca="1">IFERROR(__xludf.DUMMYFUNCTION("""COMPUTED_VALUE"""),"Governement Polytechnic College, Patiala")</f>
        <v>Governement Polytechnic College, Patiala</v>
      </c>
      <c r="B436" s="1" t="str">
        <f ca="1">IFERROR(__xludf.DUMMYFUNCTION("""COMPUTED_VALUE"""),"Patiala")</f>
        <v>Patiala</v>
      </c>
      <c r="C436" s="1" t="str">
        <f ca="1">IFERROR(__xludf.DUMMYFUNCTION("""COMPUTED_VALUE"""),"Applied Science")</f>
        <v>Applied Science</v>
      </c>
      <c r="D436" s="1" t="str">
        <f ca="1">IFERROR(__xludf.DUMMYFUNCTION("""COMPUTED_VALUE"""),"Sakshi Suri")</f>
        <v>Sakshi Suri</v>
      </c>
      <c r="E436" s="1" t="str">
        <f ca="1">IFERROR(__xludf.DUMMYFUNCTION("""COMPUTED_VALUE"""),"Lecturer")</f>
        <v>Lecturer</v>
      </c>
      <c r="F436" s="1" t="str">
        <f ca="1">IFERROR(__xludf.DUMMYFUNCTION("""COMPUTED_VALUE"""),"sakshisuri08@gmail.com")</f>
        <v>sakshisuri08@gmail.com</v>
      </c>
      <c r="G436" s="1">
        <f ca="1">IFERROR(__xludf.DUMMYFUNCTION("""COMPUTED_VALUE"""),7837081008)</f>
        <v>7837081008</v>
      </c>
    </row>
    <row r="437" spans="1:7" x14ac:dyDescent="0.3">
      <c r="A437" s="1" t="str">
        <f ca="1">IFERROR(__xludf.DUMMYFUNCTION("""COMPUTED_VALUE"""),"Governement Polytechnic College, Patiala")</f>
        <v>Governement Polytechnic College, Patiala</v>
      </c>
      <c r="B437" s="1" t="str">
        <f ca="1">IFERROR(__xludf.DUMMYFUNCTION("""COMPUTED_VALUE"""),"Patiala")</f>
        <v>Patiala</v>
      </c>
      <c r="C437" s="1" t="str">
        <f ca="1">IFERROR(__xludf.DUMMYFUNCTION("""COMPUTED_VALUE"""),"Electronics and Communications Engineering")</f>
        <v>Electronics and Communications Engineering</v>
      </c>
      <c r="D437" s="1" t="str">
        <f ca="1">IFERROR(__xludf.DUMMYFUNCTION("""COMPUTED_VALUE"""),"Srishtee Chaudhry")</f>
        <v>Srishtee Chaudhry</v>
      </c>
      <c r="E437" s="1" t="str">
        <f ca="1">IFERROR(__xludf.DUMMYFUNCTION("""COMPUTED_VALUE"""),"Lecturer")</f>
        <v>Lecturer</v>
      </c>
      <c r="F437" s="1" t="str">
        <f ca="1">IFERROR(__xludf.DUMMYFUNCTION("""COMPUTED_VALUE"""),"srishteechaudhary@gmail.com")</f>
        <v>srishteechaudhary@gmail.com</v>
      </c>
      <c r="G437" s="1">
        <f ca="1">IFERROR(__xludf.DUMMYFUNCTION("""COMPUTED_VALUE"""),9988888509)</f>
        <v>9988888509</v>
      </c>
    </row>
    <row r="438" spans="1:7" x14ac:dyDescent="0.3">
      <c r="A438" s="1" t="str">
        <f ca="1">IFERROR(__xludf.DUMMYFUNCTION("""COMPUTED_VALUE"""),"Governement Polytechnic College, Patiala")</f>
        <v>Governement Polytechnic College, Patiala</v>
      </c>
      <c r="B438" s="1" t="str">
        <f ca="1">IFERROR(__xludf.DUMMYFUNCTION("""COMPUTED_VALUE"""),"Patiala")</f>
        <v>Patiala</v>
      </c>
      <c r="C438" s="1" t="str">
        <f ca="1">IFERROR(__xludf.DUMMYFUNCTION("""COMPUTED_VALUE"""),"Modern Office Practice")</f>
        <v>Modern Office Practice</v>
      </c>
      <c r="D438" s="1" t="str">
        <f ca="1">IFERROR(__xludf.DUMMYFUNCTION("""COMPUTED_VALUE"""),"Sukhvir Kaur")</f>
        <v>Sukhvir Kaur</v>
      </c>
      <c r="E438" s="1" t="str">
        <f ca="1">IFERROR(__xludf.DUMMYFUNCTION("""COMPUTED_VALUE"""),"Lecturer")</f>
        <v>Lecturer</v>
      </c>
      <c r="F438" s="1" t="str">
        <f ca="1">IFERROR(__xludf.DUMMYFUNCTION("""COMPUTED_VALUE"""),"sukhvirkharod@gmail.com")</f>
        <v>sukhvirkharod@gmail.com</v>
      </c>
      <c r="G438" s="1">
        <f ca="1">IFERROR(__xludf.DUMMYFUNCTION("""COMPUTED_VALUE"""),9878035930)</f>
        <v>9878035930</v>
      </c>
    </row>
    <row r="439" spans="1:7" x14ac:dyDescent="0.3">
      <c r="A439" s="1" t="str">
        <f ca="1">IFERROR(__xludf.DUMMYFUNCTION("""COMPUTED_VALUE"""),"Governement Polytechnic College, Patiala")</f>
        <v>Governement Polytechnic College, Patiala</v>
      </c>
      <c r="B439" s="1" t="str">
        <f ca="1">IFERROR(__xludf.DUMMYFUNCTION("""COMPUTED_VALUE"""),"Patiala")</f>
        <v>Patiala</v>
      </c>
      <c r="C439" s="1" t="str">
        <f ca="1">IFERROR(__xludf.DUMMYFUNCTION("""COMPUTED_VALUE"""),"Information Technology")</f>
        <v>Information Technology</v>
      </c>
      <c r="D439" s="1" t="str">
        <f ca="1">IFERROR(__xludf.DUMMYFUNCTION("""COMPUTED_VALUE"""),"Sukhwinder Kaur")</f>
        <v>Sukhwinder Kaur</v>
      </c>
      <c r="E439" s="1" t="str">
        <f ca="1">IFERROR(__xludf.DUMMYFUNCTION("""COMPUTED_VALUE"""),"Sr. Lecturer")</f>
        <v>Sr. Lecturer</v>
      </c>
      <c r="F439" s="1" t="str">
        <f ca="1">IFERROR(__xludf.DUMMYFUNCTION("""COMPUTED_VALUE"""),"erskinfotech@gmail.com")</f>
        <v>erskinfotech@gmail.com</v>
      </c>
      <c r="G439" s="1">
        <f ca="1">IFERROR(__xludf.DUMMYFUNCTION("""COMPUTED_VALUE"""),9779123932)</f>
        <v>9779123932</v>
      </c>
    </row>
    <row r="440" spans="1:7" x14ac:dyDescent="0.3">
      <c r="A440" s="1" t="str">
        <f ca="1">IFERROR(__xludf.DUMMYFUNCTION("""COMPUTED_VALUE"""),"Governement Polytechnic College, Patiala")</f>
        <v>Governement Polytechnic College, Patiala</v>
      </c>
      <c r="B440" s="1" t="str">
        <f ca="1">IFERROR(__xludf.DUMMYFUNCTION("""COMPUTED_VALUE"""),"Patiala")</f>
        <v>Patiala</v>
      </c>
      <c r="C440" s="1" t="str">
        <f ca="1">IFERROR(__xludf.DUMMYFUNCTION("""COMPUTED_VALUE"""),"Electronics and Communications Engineering")</f>
        <v>Electronics and Communications Engineering</v>
      </c>
      <c r="D440" s="1" t="str">
        <f ca="1">IFERROR(__xludf.DUMMYFUNCTION("""COMPUTED_VALUE"""),"Talwinder Singh")</f>
        <v>Talwinder Singh</v>
      </c>
      <c r="E440" s="1" t="str">
        <f ca="1">IFERROR(__xludf.DUMMYFUNCTION("""COMPUTED_VALUE"""),"Lab Technician")</f>
        <v>Lab Technician</v>
      </c>
      <c r="F440" s="1" t="str">
        <f ca="1">IFERROR(__xludf.DUMMYFUNCTION("""COMPUTED_VALUE"""),"Truesikhsomal@gmail.com")</f>
        <v>Truesikhsomal@gmail.com</v>
      </c>
      <c r="G440" s="1">
        <f ca="1">IFERROR(__xludf.DUMMYFUNCTION("""COMPUTED_VALUE"""),9888098350)</f>
        <v>9888098350</v>
      </c>
    </row>
    <row r="441" spans="1:7" x14ac:dyDescent="0.3">
      <c r="A441" s="1" t="str">
        <f ca="1">IFERROR(__xludf.DUMMYFUNCTION("""COMPUTED_VALUE"""),"Governement Polytechnic College, Patiala")</f>
        <v>Governement Polytechnic College, Patiala</v>
      </c>
      <c r="B441" s="1" t="str">
        <f ca="1">IFERROR(__xludf.DUMMYFUNCTION("""COMPUTED_VALUE"""),"Patiala")</f>
        <v>Patiala</v>
      </c>
      <c r="C441" s="1" t="str">
        <f ca="1">IFERROR(__xludf.DUMMYFUNCTION("""COMPUTED_VALUE"""),"Computer Science and Engineering")</f>
        <v>Computer Science and Engineering</v>
      </c>
      <c r="D441" s="1" t="str">
        <f ca="1">IFERROR(__xludf.DUMMYFUNCTION("""COMPUTED_VALUE"""),"Manpreet Kaur")</f>
        <v>Manpreet Kaur</v>
      </c>
      <c r="E441" s="1" t="str">
        <f ca="1">IFERROR(__xludf.DUMMYFUNCTION("""COMPUTED_VALUE"""),"Lecturer")</f>
        <v>Lecturer</v>
      </c>
      <c r="F441" s="1" t="str">
        <f ca="1">IFERROR(__xludf.DUMMYFUNCTION("""COMPUTED_VALUE"""),"manpreet2731986@gmail.com")</f>
        <v>manpreet2731986@gmail.com</v>
      </c>
      <c r="G441" s="1">
        <f ca="1">IFERROR(__xludf.DUMMYFUNCTION("""COMPUTED_VALUE"""),6239486672)</f>
        <v>6239486672</v>
      </c>
    </row>
    <row r="442" spans="1:7" x14ac:dyDescent="0.3">
      <c r="A442" s="1" t="str">
        <f ca="1">IFERROR(__xludf.DUMMYFUNCTION("""COMPUTED_VALUE"""),"Governement Polytechnic College, Patiala")</f>
        <v>Governement Polytechnic College, Patiala</v>
      </c>
      <c r="B442" s="1" t="str">
        <f ca="1">IFERROR(__xludf.DUMMYFUNCTION("""COMPUTED_VALUE"""),"Patiala")</f>
        <v>Patiala</v>
      </c>
      <c r="C442" s="1" t="str">
        <f ca="1">IFERROR(__xludf.DUMMYFUNCTION("""COMPUTED_VALUE"""),"Information Technology")</f>
        <v>Information Technology</v>
      </c>
      <c r="D442" s="1" t="str">
        <f ca="1">IFERROR(__xludf.DUMMYFUNCTION("""COMPUTED_VALUE"""),"Tarun")</f>
        <v>Tarun</v>
      </c>
      <c r="E442" s="1" t="str">
        <f ca="1">IFERROR(__xludf.DUMMYFUNCTION("""COMPUTED_VALUE"""),"Lecturer")</f>
        <v>Lecturer</v>
      </c>
      <c r="F442" s="1" t="str">
        <f ca="1">IFERROR(__xludf.DUMMYFUNCTION("""COMPUTED_VALUE"""),"tarundhiman.gndec@gmail.com")</f>
        <v>tarundhiman.gndec@gmail.com</v>
      </c>
      <c r="G442" s="1">
        <f ca="1">IFERROR(__xludf.DUMMYFUNCTION("""COMPUTED_VALUE"""),9779535511)</f>
        <v>9779535511</v>
      </c>
    </row>
    <row r="443" spans="1:7" x14ac:dyDescent="0.3">
      <c r="A443" s="1" t="str">
        <f ca="1">IFERROR(__xludf.DUMMYFUNCTION("""COMPUTED_VALUE"""),"Governement Polytechnic College, Patiala")</f>
        <v>Governement Polytechnic College, Patiala</v>
      </c>
      <c r="B443" s="1" t="str">
        <f ca="1">IFERROR(__xludf.DUMMYFUNCTION("""COMPUTED_VALUE"""),"Patiala")</f>
        <v>Patiala</v>
      </c>
      <c r="C443" s="1" t="str">
        <f ca="1">IFERROR(__xludf.DUMMYFUNCTION("""COMPUTED_VALUE"""),"Electrical Engineering")</f>
        <v>Electrical Engineering</v>
      </c>
      <c r="D443" s="1" t="str">
        <f ca="1">IFERROR(__xludf.DUMMYFUNCTION("""COMPUTED_VALUE"""),"Tejinder Singh")</f>
        <v>Tejinder Singh</v>
      </c>
      <c r="E443" s="1" t="str">
        <f ca="1">IFERROR(__xludf.DUMMYFUNCTION("""COMPUTED_VALUE"""),"Lecturer")</f>
        <v>Lecturer</v>
      </c>
      <c r="F443" s="1" t="str">
        <f ca="1">IFERROR(__xludf.DUMMYFUNCTION("""COMPUTED_VALUE"""),"tjndrsingh76@gmail.com")</f>
        <v>tjndrsingh76@gmail.com</v>
      </c>
      <c r="G443" s="1">
        <f ca="1">IFERROR(__xludf.DUMMYFUNCTION("""COMPUTED_VALUE"""),7837103976)</f>
        <v>7837103976</v>
      </c>
    </row>
    <row r="444" spans="1:7" x14ac:dyDescent="0.3">
      <c r="A444" s="1" t="str">
        <f ca="1">IFERROR(__xludf.DUMMYFUNCTION("""COMPUTED_VALUE"""),"Governement Polytechnic College, Patiala")</f>
        <v>Governement Polytechnic College, Patiala</v>
      </c>
      <c r="B444" s="1" t="str">
        <f ca="1">IFERROR(__xludf.DUMMYFUNCTION("""COMPUTED_VALUE"""),"Patiala")</f>
        <v>Patiala</v>
      </c>
      <c r="C444" s="1" t="str">
        <f ca="1">IFERROR(__xludf.DUMMYFUNCTION("""COMPUTED_VALUE"""),"Electronics and Communications Engineering")</f>
        <v>Electronics and Communications Engineering</v>
      </c>
      <c r="D444" s="1" t="str">
        <f ca="1">IFERROR(__xludf.DUMMYFUNCTION("""COMPUTED_VALUE"""),"Yogesh Garg")</f>
        <v>Yogesh Garg</v>
      </c>
      <c r="E444" s="1" t="str">
        <f ca="1">IFERROR(__xludf.DUMMYFUNCTION("""COMPUTED_VALUE"""),"Lecturer")</f>
        <v>Lecturer</v>
      </c>
      <c r="F444" s="1" t="str">
        <f ca="1">IFERROR(__xludf.DUMMYFUNCTION("""COMPUTED_VALUE"""),"yogeshgarg797@gmail.com")</f>
        <v>yogeshgarg797@gmail.com</v>
      </c>
      <c r="G444" s="1">
        <f ca="1">IFERROR(__xludf.DUMMYFUNCTION("""COMPUTED_VALUE"""),6280026143)</f>
        <v>6280026143</v>
      </c>
    </row>
    <row r="445" spans="1:7" x14ac:dyDescent="0.3">
      <c r="A445" s="1" t="str">
        <f ca="1">IFERROR(__xludf.DUMMYFUNCTION("""COMPUTED_VALUE"""),"Governement Polytechnic College, Patiala")</f>
        <v>Governement Polytechnic College, Patiala</v>
      </c>
      <c r="B445" s="1" t="str">
        <f ca="1">IFERROR(__xludf.DUMMYFUNCTION("""COMPUTED_VALUE"""),"Patiala")</f>
        <v>Patiala</v>
      </c>
      <c r="C445" s="1" t="str">
        <f ca="1">IFERROR(__xludf.DUMMYFUNCTION("""COMPUTED_VALUE"""),"Applied Science")</f>
        <v>Applied Science</v>
      </c>
      <c r="D445" s="1" t="str">
        <f ca="1">IFERROR(__xludf.DUMMYFUNCTION("""COMPUTED_VALUE"""),"Yogesh Kumar Kashyap")</f>
        <v>Yogesh Kumar Kashyap</v>
      </c>
      <c r="E445" s="1" t="str">
        <f ca="1">IFERROR(__xludf.DUMMYFUNCTION("""COMPUTED_VALUE"""),"Sr. Lecturer")</f>
        <v>Sr. Lecturer</v>
      </c>
      <c r="F445" s="1" t="str">
        <f ca="1">IFERROR(__xludf.DUMMYFUNCTION("""COMPUTED_VALUE"""),"kashyapkyogesh@gmail.com")</f>
        <v>kashyapkyogesh@gmail.com</v>
      </c>
      <c r="G445" s="1">
        <f ca="1">IFERROR(__xludf.DUMMYFUNCTION("""COMPUTED_VALUE"""),8872400165)</f>
        <v>8872400165</v>
      </c>
    </row>
    <row r="446" spans="1:7" x14ac:dyDescent="0.3">
      <c r="A446" s="1" t="str">
        <f ca="1">IFERROR(__xludf.DUMMYFUNCTION("""COMPUTED_VALUE"""),"Governement Polytechnic College, Ropar")</f>
        <v>Governement Polytechnic College, Ropar</v>
      </c>
      <c r="B446" s="1" t="str">
        <f ca="1">IFERROR(__xludf.DUMMYFUNCTION("""COMPUTED_VALUE"""),"Ropar")</f>
        <v>Ropar</v>
      </c>
      <c r="C446" s="1" t="str">
        <f ca="1">IFERROR(__xludf.DUMMYFUNCTION("""COMPUTED_VALUE"""),"Chemical Engineering")</f>
        <v>Chemical Engineering</v>
      </c>
      <c r="D446" s="1" t="str">
        <f ca="1">IFERROR(__xludf.DUMMYFUNCTION("""COMPUTED_VALUE"""),"Ashok Kumar attri")</f>
        <v>Ashok Kumar attri</v>
      </c>
      <c r="E446" s="1" t="str">
        <f ca="1">IFERROR(__xludf.DUMMYFUNCTION("""COMPUTED_VALUE"""),"Lecturer")</f>
        <v>Lecturer</v>
      </c>
      <c r="F446" s="1" t="str">
        <f ca="1">IFERROR(__xludf.DUMMYFUNCTION("""COMPUTED_VALUE"""),"ashokbaboria@gmail.com")</f>
        <v>ashokbaboria@gmail.com</v>
      </c>
      <c r="G446" s="1">
        <f ca="1">IFERROR(__xludf.DUMMYFUNCTION("""COMPUTED_VALUE"""),9872414890)</f>
        <v>9872414890</v>
      </c>
    </row>
    <row r="447" spans="1:7" x14ac:dyDescent="0.3">
      <c r="A447" s="1" t="str">
        <f ca="1">IFERROR(__xludf.DUMMYFUNCTION("""COMPUTED_VALUE"""),"Governement Polytechnic College, Ropar")</f>
        <v>Governement Polytechnic College, Ropar</v>
      </c>
      <c r="B447" s="1" t="str">
        <f ca="1">IFERROR(__xludf.DUMMYFUNCTION("""COMPUTED_VALUE"""),"Ropar")</f>
        <v>Ropar</v>
      </c>
      <c r="C447" s="1" t="str">
        <f ca="1">IFERROR(__xludf.DUMMYFUNCTION("""COMPUTED_VALUE"""),"Workshop")</f>
        <v>Workshop</v>
      </c>
      <c r="D447" s="1" t="str">
        <f ca="1">IFERROR(__xludf.DUMMYFUNCTION("""COMPUTED_VALUE"""),"Diwan Singh")</f>
        <v>Diwan Singh</v>
      </c>
      <c r="E447" s="1" t="str">
        <f ca="1">IFERROR(__xludf.DUMMYFUNCTION("""COMPUTED_VALUE"""),"Foreman Instructor")</f>
        <v>Foreman Instructor</v>
      </c>
      <c r="F447" s="1" t="str">
        <f ca="1">IFERROR(__xludf.DUMMYFUNCTION("""COMPUTED_VALUE"""),"dewan.singh75@gmail.com")</f>
        <v>dewan.singh75@gmail.com</v>
      </c>
      <c r="G447" s="1">
        <f ca="1">IFERROR(__xludf.DUMMYFUNCTION("""COMPUTED_VALUE"""),9815330935)</f>
        <v>9815330935</v>
      </c>
    </row>
    <row r="448" spans="1:7" x14ac:dyDescent="0.3">
      <c r="A448" s="1" t="str">
        <f ca="1">IFERROR(__xludf.DUMMYFUNCTION("""COMPUTED_VALUE"""),"Governement Polytechnic College, Ropar")</f>
        <v>Governement Polytechnic College, Ropar</v>
      </c>
      <c r="B448" s="1" t="str">
        <f ca="1">IFERROR(__xludf.DUMMYFUNCTION("""COMPUTED_VALUE"""),"Ropar")</f>
        <v>Ropar</v>
      </c>
      <c r="C448" s="1" t="str">
        <f ca="1">IFERROR(__xludf.DUMMYFUNCTION("""COMPUTED_VALUE"""),"Pharmacy")</f>
        <v>Pharmacy</v>
      </c>
      <c r="D448" s="1" t="str">
        <f ca="1">IFERROR(__xludf.DUMMYFUNCTION("""COMPUTED_VALUE"""),"Gagandeep Chaudhary")</f>
        <v>Gagandeep Chaudhary</v>
      </c>
      <c r="E448" s="1" t="str">
        <f ca="1">IFERROR(__xludf.DUMMYFUNCTION("""COMPUTED_VALUE"""),"Lecturer")</f>
        <v>Lecturer</v>
      </c>
      <c r="F448" s="1" t="str">
        <f ca="1">IFERROR(__xludf.DUMMYFUNCTION("""COMPUTED_VALUE"""),"drgdchaudhary@gmail.com")</f>
        <v>drgdchaudhary@gmail.com</v>
      </c>
      <c r="G448" s="1">
        <f ca="1">IFERROR(__xludf.DUMMYFUNCTION("""COMPUTED_VALUE"""),9463509193)</f>
        <v>9463509193</v>
      </c>
    </row>
    <row r="449" spans="1:7" x14ac:dyDescent="0.3">
      <c r="A449" s="1" t="str">
        <f ca="1">IFERROR(__xludf.DUMMYFUNCTION("""COMPUTED_VALUE"""),"Governement Polytechnic College, Ropar")</f>
        <v>Governement Polytechnic College, Ropar</v>
      </c>
      <c r="B449" s="1" t="str">
        <f ca="1">IFERROR(__xludf.DUMMYFUNCTION("""COMPUTED_VALUE"""),"Ropar")</f>
        <v>Ropar</v>
      </c>
      <c r="C449" s="1" t="str">
        <f ca="1">IFERROR(__xludf.DUMMYFUNCTION("""COMPUTED_VALUE"""),"Pharmacy")</f>
        <v>Pharmacy</v>
      </c>
      <c r="D449" s="1" t="str">
        <f ca="1">IFERROR(__xludf.DUMMYFUNCTION("""COMPUTED_VALUE"""),"Gursimran Singh")</f>
        <v>Gursimran Singh</v>
      </c>
      <c r="E449" s="1" t="str">
        <f ca="1">IFERROR(__xludf.DUMMYFUNCTION("""COMPUTED_VALUE"""),"Lecturer")</f>
        <v>Lecturer</v>
      </c>
      <c r="F449" s="1" t="str">
        <f ca="1">IFERROR(__xludf.DUMMYFUNCTION("""COMPUTED_VALUE"""),"gursimran85.pharmacy@gmail.com")</f>
        <v>gursimran85.pharmacy@gmail.com</v>
      </c>
      <c r="G449" s="1">
        <f ca="1">IFERROR(__xludf.DUMMYFUNCTION("""COMPUTED_VALUE"""),9872317017)</f>
        <v>9872317017</v>
      </c>
    </row>
    <row r="450" spans="1:7" x14ac:dyDescent="0.3">
      <c r="A450" s="1" t="str">
        <f ca="1">IFERROR(__xludf.DUMMYFUNCTION("""COMPUTED_VALUE"""),"Governement Polytechnic College, Ropar")</f>
        <v>Governement Polytechnic College, Ropar</v>
      </c>
      <c r="B450" s="1" t="str">
        <f ca="1">IFERROR(__xludf.DUMMYFUNCTION("""COMPUTED_VALUE"""),"Ropar")</f>
        <v>Ropar</v>
      </c>
      <c r="C450" s="1" t="str">
        <f ca="1">IFERROR(__xludf.DUMMYFUNCTION("""COMPUTED_VALUE"""),"Electronics and Communications Engineering")</f>
        <v>Electronics and Communications Engineering</v>
      </c>
      <c r="D450" s="1" t="str">
        <f ca="1">IFERROR(__xludf.DUMMYFUNCTION("""COMPUTED_VALUE"""),"Harjeetpal Singh")</f>
        <v>Harjeetpal Singh</v>
      </c>
      <c r="E450" s="1" t="str">
        <f ca="1">IFERROR(__xludf.DUMMYFUNCTION("""COMPUTED_VALUE"""),"HOD")</f>
        <v>HOD</v>
      </c>
      <c r="F450" s="1" t="str">
        <f ca="1">IFERROR(__xludf.DUMMYFUNCTION("""COMPUTED_VALUE"""),"pal.harjeet@gmail.com")</f>
        <v>pal.harjeet@gmail.com</v>
      </c>
      <c r="G450" s="1">
        <f ca="1">IFERROR(__xludf.DUMMYFUNCTION("""COMPUTED_VALUE"""),9814804321)</f>
        <v>9814804321</v>
      </c>
    </row>
    <row r="451" spans="1:7" x14ac:dyDescent="0.3">
      <c r="A451" s="1" t="str">
        <f ca="1">IFERROR(__xludf.DUMMYFUNCTION("""COMPUTED_VALUE"""),"Governement Polytechnic College, Ropar")</f>
        <v>Governement Polytechnic College, Ropar</v>
      </c>
      <c r="B451" s="1" t="str">
        <f ca="1">IFERROR(__xludf.DUMMYFUNCTION("""COMPUTED_VALUE"""),"Ropar")</f>
        <v>Ropar</v>
      </c>
      <c r="C451" s="1" t="str">
        <f ca="1">IFERROR(__xludf.DUMMYFUNCTION("""COMPUTED_VALUE"""),"Electronics and Communications Engineering")</f>
        <v>Electronics and Communications Engineering</v>
      </c>
      <c r="D451" s="1" t="str">
        <f ca="1">IFERROR(__xludf.DUMMYFUNCTION("""COMPUTED_VALUE"""),"Harmandeep Singh Nijjar")</f>
        <v>Harmandeep Singh Nijjar</v>
      </c>
      <c r="E451" s="1" t="str">
        <f ca="1">IFERROR(__xludf.DUMMYFUNCTION("""COMPUTED_VALUE"""),"Lecturer")</f>
        <v>Lecturer</v>
      </c>
      <c r="F451" s="1" t="str">
        <f ca="1">IFERROR(__xludf.DUMMYFUNCTION("""COMPUTED_VALUE"""),"nijjarhs@gmail.com")</f>
        <v>nijjarhs@gmail.com</v>
      </c>
      <c r="G451" s="1">
        <f ca="1">IFERROR(__xludf.DUMMYFUNCTION("""COMPUTED_VALUE"""),9501638911)</f>
        <v>9501638911</v>
      </c>
    </row>
    <row r="452" spans="1:7" x14ac:dyDescent="0.3">
      <c r="A452" s="1" t="str">
        <f ca="1">IFERROR(__xludf.DUMMYFUNCTION("""COMPUTED_VALUE"""),"Governement Polytechnic College, Ropar")</f>
        <v>Governement Polytechnic College, Ropar</v>
      </c>
      <c r="B452" s="1" t="str">
        <f ca="1">IFERROR(__xludf.DUMMYFUNCTION("""COMPUTED_VALUE"""),"Ropar")</f>
        <v>Ropar</v>
      </c>
      <c r="C452" s="1" t="str">
        <f ca="1">IFERROR(__xludf.DUMMYFUNCTION("""COMPUTED_VALUE"""),"Electrical Engineering")</f>
        <v>Electrical Engineering</v>
      </c>
      <c r="D452" s="1" t="str">
        <f ca="1">IFERROR(__xludf.DUMMYFUNCTION("""COMPUTED_VALUE"""),"Harpreet Singh Nagpal")</f>
        <v>Harpreet Singh Nagpal</v>
      </c>
      <c r="E452" s="1" t="str">
        <f ca="1">IFERROR(__xludf.DUMMYFUNCTION("""COMPUTED_VALUE"""),"Sr. Lecturer")</f>
        <v>Sr. Lecturer</v>
      </c>
      <c r="F452" s="1" t="str">
        <f ca="1">IFERROR(__xludf.DUMMYFUNCTION("""COMPUTED_VALUE"""),"Harpreet.diet@gmail.com")</f>
        <v>Harpreet.diet@gmail.com</v>
      </c>
      <c r="G452" s="1">
        <f ca="1">IFERROR(__xludf.DUMMYFUNCTION("""COMPUTED_VALUE"""),9463696170)</f>
        <v>9463696170</v>
      </c>
    </row>
    <row r="453" spans="1:7" x14ac:dyDescent="0.3">
      <c r="A453" s="1" t="str">
        <f ca="1">IFERROR(__xludf.DUMMYFUNCTION("""COMPUTED_VALUE"""),"Governement Polytechnic College, Ropar")</f>
        <v>Governement Polytechnic College, Ropar</v>
      </c>
      <c r="B453" s="1" t="str">
        <f ca="1">IFERROR(__xludf.DUMMYFUNCTION("""COMPUTED_VALUE"""),"Ropar")</f>
        <v>Ropar</v>
      </c>
      <c r="C453" s="1" t="str">
        <f ca="1">IFERROR(__xludf.DUMMYFUNCTION("""COMPUTED_VALUE"""),"Information Technology")</f>
        <v>Information Technology</v>
      </c>
      <c r="D453" s="1" t="str">
        <f ca="1">IFERROR(__xludf.DUMMYFUNCTION("""COMPUTED_VALUE"""),"Jasbinder Kaur")</f>
        <v>Jasbinder Kaur</v>
      </c>
      <c r="E453" s="1" t="str">
        <f ca="1">IFERROR(__xludf.DUMMYFUNCTION("""COMPUTED_VALUE"""),"Lecturer")</f>
        <v>Lecturer</v>
      </c>
      <c r="F453" s="1" t="str">
        <f ca="1">IFERROR(__xludf.DUMMYFUNCTION("""COMPUTED_VALUE"""),"jaswinderaqua@gmail.com")</f>
        <v>jaswinderaqua@gmail.com</v>
      </c>
      <c r="G453" s="1">
        <f ca="1">IFERROR(__xludf.DUMMYFUNCTION("""COMPUTED_VALUE"""),9814169391)</f>
        <v>9814169391</v>
      </c>
    </row>
    <row r="454" spans="1:7" x14ac:dyDescent="0.3">
      <c r="A454" s="1" t="str">
        <f ca="1">IFERROR(__xludf.DUMMYFUNCTION("""COMPUTED_VALUE"""),"Governement Polytechnic College, Ropar")</f>
        <v>Governement Polytechnic College, Ropar</v>
      </c>
      <c r="B454" s="1" t="str">
        <f ca="1">IFERROR(__xludf.DUMMYFUNCTION("""COMPUTED_VALUE"""),"Ropar")</f>
        <v>Ropar</v>
      </c>
      <c r="C454" s="1" t="str">
        <f ca="1">IFERROR(__xludf.DUMMYFUNCTION("""COMPUTED_VALUE"""),"Mechanical Engineering")</f>
        <v>Mechanical Engineering</v>
      </c>
      <c r="D454" s="1" t="str">
        <f ca="1">IFERROR(__xludf.DUMMYFUNCTION("""COMPUTED_VALUE"""),"Jashandeep Singh")</f>
        <v>Jashandeep Singh</v>
      </c>
      <c r="E454" s="1" t="str">
        <f ca="1">IFERROR(__xludf.DUMMYFUNCTION("""COMPUTED_VALUE"""),"Lecturer")</f>
        <v>Lecturer</v>
      </c>
      <c r="F454" s="1" t="str">
        <f ca="1">IFERROR(__xludf.DUMMYFUNCTION("""COMPUTED_VALUE"""),"jashandeepsngh5@gmail.com")</f>
        <v>jashandeepsngh5@gmail.com</v>
      </c>
      <c r="G454" s="1">
        <f ca="1">IFERROR(__xludf.DUMMYFUNCTION("""COMPUTED_VALUE"""),9041428892)</f>
        <v>9041428892</v>
      </c>
    </row>
    <row r="455" spans="1:7" x14ac:dyDescent="0.3">
      <c r="A455" s="1" t="str">
        <f ca="1">IFERROR(__xludf.DUMMYFUNCTION("""COMPUTED_VALUE"""),"Governement Polytechnic College, Ropar")</f>
        <v>Governement Polytechnic College, Ropar</v>
      </c>
      <c r="B455" s="1" t="str">
        <f ca="1">IFERROR(__xludf.DUMMYFUNCTION("""COMPUTED_VALUE"""),"Ropar")</f>
        <v>Ropar</v>
      </c>
      <c r="C455" s="1" t="str">
        <f ca="1">IFERROR(__xludf.DUMMYFUNCTION("""COMPUTED_VALUE"""),"Workshop")</f>
        <v>Workshop</v>
      </c>
      <c r="D455" s="1" t="str">
        <f ca="1">IFERROR(__xludf.DUMMYFUNCTION("""COMPUTED_VALUE"""),"Jaspal Singh")</f>
        <v>Jaspal Singh</v>
      </c>
      <c r="E455" s="1" t="str">
        <f ca="1">IFERROR(__xludf.DUMMYFUNCTION("""COMPUTED_VALUE"""),"Foreman Instructor")</f>
        <v>Foreman Instructor</v>
      </c>
      <c r="F455" s="1" t="str">
        <f ca="1">IFERROR(__xludf.DUMMYFUNCTION("""COMPUTED_VALUE"""),"Jaspalsingh37c@gmail.com")</f>
        <v>Jaspalsingh37c@gmail.com</v>
      </c>
      <c r="G455" s="1">
        <f ca="1">IFERROR(__xludf.DUMMYFUNCTION("""COMPUTED_VALUE"""),7973795060)</f>
        <v>7973795060</v>
      </c>
    </row>
    <row r="456" spans="1:7" x14ac:dyDescent="0.3">
      <c r="A456" s="1" t="str">
        <f ca="1">IFERROR(__xludf.DUMMYFUNCTION("""COMPUTED_VALUE"""),"Governement Polytechnic College, Ropar")</f>
        <v>Governement Polytechnic College, Ropar</v>
      </c>
      <c r="B456" s="1" t="str">
        <f ca="1">IFERROR(__xludf.DUMMYFUNCTION("""COMPUTED_VALUE"""),"Ropar")</f>
        <v>Ropar</v>
      </c>
      <c r="C456" s="1" t="str">
        <f ca="1">IFERROR(__xludf.DUMMYFUNCTION("""COMPUTED_VALUE"""),"Applied Science")</f>
        <v>Applied Science</v>
      </c>
      <c r="D456" s="1" t="str">
        <f ca="1">IFERROR(__xludf.DUMMYFUNCTION("""COMPUTED_VALUE"""),"Jatin Prashar")</f>
        <v>Jatin Prashar</v>
      </c>
      <c r="E456" s="1" t="str">
        <f ca="1">IFERROR(__xludf.DUMMYFUNCTION("""COMPUTED_VALUE"""),"Lecturer")</f>
        <v>Lecturer</v>
      </c>
      <c r="F456" s="1" t="str">
        <f ca="1">IFERROR(__xludf.DUMMYFUNCTION("""COMPUTED_VALUE"""),"Prashjtn@gmail.com")</f>
        <v>Prashjtn@gmail.com</v>
      </c>
      <c r="G456" s="1">
        <f ca="1">IFERROR(__xludf.DUMMYFUNCTION("""COMPUTED_VALUE"""),6280406004)</f>
        <v>6280406004</v>
      </c>
    </row>
    <row r="457" spans="1:7" x14ac:dyDescent="0.3">
      <c r="A457" s="1" t="str">
        <f ca="1">IFERROR(__xludf.DUMMYFUNCTION("""COMPUTED_VALUE"""),"Governement Polytechnic College, Ropar")</f>
        <v>Governement Polytechnic College, Ropar</v>
      </c>
      <c r="B457" s="1" t="str">
        <f ca="1">IFERROR(__xludf.DUMMYFUNCTION("""COMPUTED_VALUE"""),"Ropar")</f>
        <v>Ropar</v>
      </c>
      <c r="C457" s="1" t="str">
        <f ca="1">IFERROR(__xludf.DUMMYFUNCTION("""COMPUTED_VALUE"""),"Applied Science")</f>
        <v>Applied Science</v>
      </c>
      <c r="D457" s="1" t="str">
        <f ca="1">IFERROR(__xludf.DUMMYFUNCTION("""COMPUTED_VALUE"""),"Maninder Kaur")</f>
        <v>Maninder Kaur</v>
      </c>
      <c r="E457" s="1" t="str">
        <f ca="1">IFERROR(__xludf.DUMMYFUNCTION("""COMPUTED_VALUE"""),"Sr. Lecturer")</f>
        <v>Sr. Lecturer</v>
      </c>
      <c r="F457" s="1" t="str">
        <f ca="1">IFERROR(__xludf.DUMMYFUNCTION("""COMPUTED_VALUE"""),"maninderkaur.1971@gmail.com")</f>
        <v>maninderkaur.1971@gmail.com</v>
      </c>
      <c r="G457" s="1">
        <f ca="1">IFERROR(__xludf.DUMMYFUNCTION("""COMPUTED_VALUE"""),9872644604)</f>
        <v>9872644604</v>
      </c>
    </row>
    <row r="458" spans="1:7" x14ac:dyDescent="0.3">
      <c r="A458" s="1" t="str">
        <f ca="1">IFERROR(__xludf.DUMMYFUNCTION("""COMPUTED_VALUE"""),"Governement Polytechnic College, Ropar")</f>
        <v>Governement Polytechnic College, Ropar</v>
      </c>
      <c r="B458" s="1" t="str">
        <f ca="1">IFERROR(__xludf.DUMMYFUNCTION("""COMPUTED_VALUE"""),"Ropar")</f>
        <v>Ropar</v>
      </c>
      <c r="C458" s="1" t="str">
        <f ca="1">IFERROR(__xludf.DUMMYFUNCTION("""COMPUTED_VALUE"""),"Chemical Engineering")</f>
        <v>Chemical Engineering</v>
      </c>
      <c r="D458" s="1" t="str">
        <f ca="1">IFERROR(__xludf.DUMMYFUNCTION("""COMPUTED_VALUE"""),"Manoj Kumar Jindal")</f>
        <v>Manoj Kumar Jindal</v>
      </c>
      <c r="E458" s="1" t="str">
        <f ca="1">IFERROR(__xludf.DUMMYFUNCTION("""COMPUTED_VALUE"""),"Sr. Lecturer")</f>
        <v>Sr. Lecturer</v>
      </c>
      <c r="F458" s="1" t="str">
        <f ca="1">IFERROR(__xludf.DUMMYFUNCTION("""COMPUTED_VALUE"""),"jindalmkin@gmail.com")</f>
        <v>jindalmkin@gmail.com</v>
      </c>
      <c r="G458" s="1">
        <f ca="1">IFERROR(__xludf.DUMMYFUNCTION("""COMPUTED_VALUE"""),9814640557)</f>
        <v>9814640557</v>
      </c>
    </row>
    <row r="459" spans="1:7" x14ac:dyDescent="0.3">
      <c r="A459" s="1" t="str">
        <f ca="1">IFERROR(__xludf.DUMMYFUNCTION("""COMPUTED_VALUE"""),"Governement Polytechnic College, Ropar")</f>
        <v>Governement Polytechnic College, Ropar</v>
      </c>
      <c r="B459" s="1" t="str">
        <f ca="1">IFERROR(__xludf.DUMMYFUNCTION("""COMPUTED_VALUE"""),"Ropar")</f>
        <v>Ropar</v>
      </c>
      <c r="C459" s="1" t="str">
        <f ca="1">IFERROR(__xludf.DUMMYFUNCTION("""COMPUTED_VALUE"""),"Electronics and Communications Engineering")</f>
        <v>Electronics and Communications Engineering</v>
      </c>
      <c r="D459" s="1" t="str">
        <f ca="1">IFERROR(__xludf.DUMMYFUNCTION("""COMPUTED_VALUE"""),"Namrata")</f>
        <v>Namrata</v>
      </c>
      <c r="E459" s="1" t="str">
        <f ca="1">IFERROR(__xludf.DUMMYFUNCTION("""COMPUTED_VALUE"""),"Lecturer")</f>
        <v>Lecturer</v>
      </c>
      <c r="F459" s="1" t="str">
        <f ca="1">IFERROR(__xludf.DUMMYFUNCTION("""COMPUTED_VALUE"""),"nagpalnamarta85@gmail.com")</f>
        <v>nagpalnamarta85@gmail.com</v>
      </c>
      <c r="G459" s="1">
        <f ca="1">IFERROR(__xludf.DUMMYFUNCTION("""COMPUTED_VALUE"""),9814410720)</f>
        <v>9814410720</v>
      </c>
    </row>
    <row r="460" spans="1:7" x14ac:dyDescent="0.3">
      <c r="A460" s="1" t="str">
        <f ca="1">IFERROR(__xludf.DUMMYFUNCTION("""COMPUTED_VALUE"""),"Governement Polytechnic College, Ropar")</f>
        <v>Governement Polytechnic College, Ropar</v>
      </c>
      <c r="B460" s="1" t="str">
        <f ca="1">IFERROR(__xludf.DUMMYFUNCTION("""COMPUTED_VALUE"""),"Ropar")</f>
        <v>Ropar</v>
      </c>
      <c r="C460" s="1" t="str">
        <f ca="1">IFERROR(__xludf.DUMMYFUNCTION("""COMPUTED_VALUE"""),"Computer Science and Engineering")</f>
        <v>Computer Science and Engineering</v>
      </c>
      <c r="D460" s="1" t="str">
        <f ca="1">IFERROR(__xludf.DUMMYFUNCTION("""COMPUTED_VALUE"""),"Nisha Dhankher")</f>
        <v>Nisha Dhankher</v>
      </c>
      <c r="E460" s="1" t="str">
        <f ca="1">IFERROR(__xludf.DUMMYFUNCTION("""COMPUTED_VALUE"""),"Lecturer")</f>
        <v>Lecturer</v>
      </c>
      <c r="F460" s="1"/>
      <c r="G460" s="1">
        <f ca="1">IFERROR(__xludf.DUMMYFUNCTION("""COMPUTED_VALUE"""),9815646412)</f>
        <v>9815646412</v>
      </c>
    </row>
    <row r="461" spans="1:7" x14ac:dyDescent="0.3">
      <c r="A461" s="1" t="str">
        <f ca="1">IFERROR(__xludf.DUMMYFUNCTION("""COMPUTED_VALUE"""),"Governement Polytechnic College, Ropar")</f>
        <v>Governement Polytechnic College, Ropar</v>
      </c>
      <c r="B461" s="1" t="str">
        <f ca="1">IFERROR(__xludf.DUMMYFUNCTION("""COMPUTED_VALUE"""),"Ropar")</f>
        <v>Ropar</v>
      </c>
      <c r="C461" s="1" t="str">
        <f ca="1">IFERROR(__xludf.DUMMYFUNCTION("""COMPUTED_VALUE"""),"Pharmacy")</f>
        <v>Pharmacy</v>
      </c>
      <c r="D461" s="1" t="str">
        <f ca="1">IFERROR(__xludf.DUMMYFUNCTION("""COMPUTED_VALUE"""),"Pankaj Kalra")</f>
        <v>Pankaj Kalra</v>
      </c>
      <c r="E461" s="1" t="str">
        <f ca="1">IFERROR(__xludf.DUMMYFUNCTION("""COMPUTED_VALUE"""),"Lecturer")</f>
        <v>Lecturer</v>
      </c>
      <c r="F461" s="1" t="str">
        <f ca="1">IFERROR(__xludf.DUMMYFUNCTION("""COMPUTED_VALUE"""),"pankajchd2@gmail.com")</f>
        <v>pankajchd2@gmail.com</v>
      </c>
      <c r="G461" s="1">
        <f ca="1">IFERROR(__xludf.DUMMYFUNCTION("""COMPUTED_VALUE"""),8427777442)</f>
        <v>8427777442</v>
      </c>
    </row>
    <row r="462" spans="1:7" x14ac:dyDescent="0.3">
      <c r="A462" s="1" t="str">
        <f ca="1">IFERROR(__xludf.DUMMYFUNCTION("""COMPUTED_VALUE"""),"Governement Polytechnic College, Ropar")</f>
        <v>Governement Polytechnic College, Ropar</v>
      </c>
      <c r="B462" s="1" t="str">
        <f ca="1">IFERROR(__xludf.DUMMYFUNCTION("""COMPUTED_VALUE"""),"Ropar")</f>
        <v>Ropar</v>
      </c>
      <c r="C462" s="1" t="str">
        <f ca="1">IFERROR(__xludf.DUMMYFUNCTION("""COMPUTED_VALUE"""),"Computer Science and Engineering")</f>
        <v>Computer Science and Engineering</v>
      </c>
      <c r="D462" s="1" t="str">
        <f ca="1">IFERROR(__xludf.DUMMYFUNCTION("""COMPUTED_VALUE"""),"Poonam Rani")</f>
        <v>Poonam Rani</v>
      </c>
      <c r="E462" s="1" t="str">
        <f ca="1">IFERROR(__xludf.DUMMYFUNCTION("""COMPUTED_VALUE"""),"Lecturer")</f>
        <v>Lecturer</v>
      </c>
      <c r="F462" s="1" t="str">
        <f ca="1">IFERROR(__xludf.DUMMYFUNCTION("""COMPUTED_VALUE"""),"poonamchalotra@gmail.com")</f>
        <v>poonamchalotra@gmail.com</v>
      </c>
      <c r="G462" s="1">
        <f ca="1">IFERROR(__xludf.DUMMYFUNCTION("""COMPUTED_VALUE"""),9779248727)</f>
        <v>9779248727</v>
      </c>
    </row>
    <row r="463" spans="1:7" x14ac:dyDescent="0.3">
      <c r="A463" s="1" t="str">
        <f ca="1">IFERROR(__xludf.DUMMYFUNCTION("""COMPUTED_VALUE"""),"Governement Polytechnic College, Ropar")</f>
        <v>Governement Polytechnic College, Ropar</v>
      </c>
      <c r="B463" s="1" t="str">
        <f ca="1">IFERROR(__xludf.DUMMYFUNCTION("""COMPUTED_VALUE"""),"Ropar")</f>
        <v>Ropar</v>
      </c>
      <c r="C463" s="1" t="str">
        <f ca="1">IFERROR(__xludf.DUMMYFUNCTION("""COMPUTED_VALUE"""),"Electrical Engineering")</f>
        <v>Electrical Engineering</v>
      </c>
      <c r="D463" s="1" t="str">
        <f ca="1">IFERROR(__xludf.DUMMYFUNCTION("""COMPUTED_VALUE"""),"Rajesh Kumar Jassi")</f>
        <v>Rajesh Kumar Jassi</v>
      </c>
      <c r="E463" s="1" t="str">
        <f ca="1">IFERROR(__xludf.DUMMYFUNCTION("""COMPUTED_VALUE"""),"HOD")</f>
        <v>HOD</v>
      </c>
      <c r="F463" s="1" t="str">
        <f ca="1">IFERROR(__xludf.DUMMYFUNCTION("""COMPUTED_VALUE"""),"Jassirajesh045@gmail.com")</f>
        <v>Jassirajesh045@gmail.com</v>
      </c>
      <c r="G463" s="1">
        <f ca="1">IFERROR(__xludf.DUMMYFUNCTION("""COMPUTED_VALUE"""),8437700636)</f>
        <v>8437700636</v>
      </c>
    </row>
    <row r="464" spans="1:7" x14ac:dyDescent="0.3">
      <c r="A464" s="1" t="str">
        <f ca="1">IFERROR(__xludf.DUMMYFUNCTION("""COMPUTED_VALUE"""),"Governement Polytechnic College, Ropar")</f>
        <v>Governement Polytechnic College, Ropar</v>
      </c>
      <c r="B464" s="1" t="str">
        <f ca="1">IFERROR(__xludf.DUMMYFUNCTION("""COMPUTED_VALUE"""),"Ropar")</f>
        <v>Ropar</v>
      </c>
      <c r="C464" s="1" t="str">
        <f ca="1">IFERROR(__xludf.DUMMYFUNCTION("""COMPUTED_VALUE"""),"Information Technology")</f>
        <v>Information Technology</v>
      </c>
      <c r="D464" s="1" t="str">
        <f ca="1">IFERROR(__xludf.DUMMYFUNCTION("""COMPUTED_VALUE"""),"Ramandeep Kaur")</f>
        <v>Ramandeep Kaur</v>
      </c>
      <c r="E464" s="1" t="str">
        <f ca="1">IFERROR(__xludf.DUMMYFUNCTION("""COMPUTED_VALUE"""),"Lecturer")</f>
        <v>Lecturer</v>
      </c>
      <c r="F464" s="1" t="str">
        <f ca="1">IFERROR(__xludf.DUMMYFUNCTION("""COMPUTED_VALUE"""),"ramangpcg@gmail.com")</f>
        <v>ramangpcg@gmail.com</v>
      </c>
      <c r="G464" s="1">
        <f ca="1">IFERROR(__xludf.DUMMYFUNCTION("""COMPUTED_VALUE"""),9821675013)</f>
        <v>9821675013</v>
      </c>
    </row>
    <row r="465" spans="1:7" x14ac:dyDescent="0.3">
      <c r="A465" s="1" t="str">
        <f ca="1">IFERROR(__xludf.DUMMYFUNCTION("""COMPUTED_VALUE"""),"Governement Polytechnic College, Ropar")</f>
        <v>Governement Polytechnic College, Ropar</v>
      </c>
      <c r="B465" s="1" t="str">
        <f ca="1">IFERROR(__xludf.DUMMYFUNCTION("""COMPUTED_VALUE"""),"Ropar")</f>
        <v>Ropar</v>
      </c>
      <c r="C465" s="1" t="str">
        <f ca="1">IFERROR(__xludf.DUMMYFUNCTION("""COMPUTED_VALUE"""),"Mechanical Engineering")</f>
        <v>Mechanical Engineering</v>
      </c>
      <c r="D465" s="1" t="str">
        <f ca="1">IFERROR(__xludf.DUMMYFUNCTION("""COMPUTED_VALUE"""),"Satnam Singh")</f>
        <v>Satnam Singh</v>
      </c>
      <c r="E465" s="1" t="str">
        <f ca="1">IFERROR(__xludf.DUMMYFUNCTION("""COMPUTED_VALUE"""),"Sr. Lecturer")</f>
        <v>Sr. Lecturer</v>
      </c>
      <c r="F465" s="1" t="str">
        <f ca="1">IFERROR(__xludf.DUMMYFUNCTION("""COMPUTED_VALUE"""),"satnamjanagal@gmail.com")</f>
        <v>satnamjanagal@gmail.com</v>
      </c>
      <c r="G465" s="1">
        <f ca="1">IFERROR(__xludf.DUMMYFUNCTION("""COMPUTED_VALUE"""),9530802406)</f>
        <v>9530802406</v>
      </c>
    </row>
    <row r="466" spans="1:7" x14ac:dyDescent="0.3">
      <c r="A466" s="1" t="str">
        <f ca="1">IFERROR(__xludf.DUMMYFUNCTION("""COMPUTED_VALUE"""),"Governement Polytechnic College, Ropar")</f>
        <v>Governement Polytechnic College, Ropar</v>
      </c>
      <c r="B466" s="1" t="str">
        <f ca="1">IFERROR(__xludf.DUMMYFUNCTION("""COMPUTED_VALUE"""),"Ropar")</f>
        <v>Ropar</v>
      </c>
      <c r="C466" s="1" t="str">
        <f ca="1">IFERROR(__xludf.DUMMYFUNCTION("""COMPUTED_VALUE"""),"Workshop")</f>
        <v>Workshop</v>
      </c>
      <c r="D466" s="1" t="str">
        <f ca="1">IFERROR(__xludf.DUMMYFUNCTION("""COMPUTED_VALUE"""),"Sham Lal")</f>
        <v>Sham Lal</v>
      </c>
      <c r="E466" s="1" t="str">
        <f ca="1">IFERROR(__xludf.DUMMYFUNCTION("""COMPUTED_VALUE"""),"Foreman Instructor")</f>
        <v>Foreman Instructor</v>
      </c>
      <c r="F466" s="1" t="str">
        <f ca="1">IFERROR(__xludf.DUMMYFUNCTION("""COMPUTED_VALUE"""),"sl.sonkhla@gmail.com")</f>
        <v>sl.sonkhla@gmail.com</v>
      </c>
      <c r="G466" s="1">
        <f ca="1">IFERROR(__xludf.DUMMYFUNCTION("""COMPUTED_VALUE"""),8968666884)</f>
        <v>8968666884</v>
      </c>
    </row>
    <row r="467" spans="1:7" x14ac:dyDescent="0.3">
      <c r="A467" s="1" t="str">
        <f ca="1">IFERROR(__xludf.DUMMYFUNCTION("""COMPUTED_VALUE"""),"Governement Polytechnic College, Ropar")</f>
        <v>Governement Polytechnic College, Ropar</v>
      </c>
      <c r="B467" s="1" t="str">
        <f ca="1">IFERROR(__xludf.DUMMYFUNCTION("""COMPUTED_VALUE"""),"Ropar")</f>
        <v>Ropar</v>
      </c>
      <c r="C467" s="1" t="str">
        <f ca="1">IFERROR(__xludf.DUMMYFUNCTION("""COMPUTED_VALUE"""),"Computer Science and Engineering")</f>
        <v>Computer Science and Engineering</v>
      </c>
      <c r="D467" s="1" t="str">
        <f ca="1">IFERROR(__xludf.DUMMYFUNCTION("""COMPUTED_VALUE"""),"Simranjeet Kaur")</f>
        <v>Simranjeet Kaur</v>
      </c>
      <c r="E467" s="1" t="str">
        <f ca="1">IFERROR(__xludf.DUMMYFUNCTION("""COMPUTED_VALUE"""),"Sr. Lecturer")</f>
        <v>Sr. Lecturer</v>
      </c>
      <c r="F467" s="1" t="str">
        <f ca="1">IFERROR(__xludf.DUMMYFUNCTION("""COMPUTED_VALUE"""),"simransandeepk@gmail.com")</f>
        <v>simransandeepk@gmail.com</v>
      </c>
      <c r="G467" s="1">
        <f ca="1">IFERROR(__xludf.DUMMYFUNCTION("""COMPUTED_VALUE"""),9646074774)</f>
        <v>9646074774</v>
      </c>
    </row>
    <row r="468" spans="1:7" x14ac:dyDescent="0.3">
      <c r="A468" s="1" t="str">
        <f ca="1">IFERROR(__xludf.DUMMYFUNCTION("""COMPUTED_VALUE"""),"Governement Polytechnic College, Ropar")</f>
        <v>Governement Polytechnic College, Ropar</v>
      </c>
      <c r="B468" s="1" t="str">
        <f ca="1">IFERROR(__xludf.DUMMYFUNCTION("""COMPUTED_VALUE"""),"Ropar")</f>
        <v>Ropar</v>
      </c>
      <c r="C468" s="1" t="str">
        <f ca="1">IFERROR(__xludf.DUMMYFUNCTION("""COMPUTED_VALUE"""),"Computer Science and Engineering")</f>
        <v>Computer Science and Engineering</v>
      </c>
      <c r="D468" s="1" t="str">
        <f ca="1">IFERROR(__xludf.DUMMYFUNCTION("""COMPUTED_VALUE"""),"Venika Chaudhary")</f>
        <v>Venika Chaudhary</v>
      </c>
      <c r="E468" s="1" t="str">
        <f ca="1">IFERROR(__xludf.DUMMYFUNCTION("""COMPUTED_VALUE"""),"Lecturer")</f>
        <v>Lecturer</v>
      </c>
      <c r="F468" s="1" t="str">
        <f ca="1">IFERROR(__xludf.DUMMYFUNCTION("""COMPUTED_VALUE"""),"Venika.chaudhary93@gmail.com")</f>
        <v>Venika.chaudhary93@gmail.com</v>
      </c>
      <c r="G468" s="1">
        <f ca="1">IFERROR(__xludf.DUMMYFUNCTION("""COMPUTED_VALUE"""),9878684930)</f>
        <v>9878684930</v>
      </c>
    </row>
    <row r="469" spans="1:7" x14ac:dyDescent="0.3">
      <c r="A469" s="1" t="str">
        <f ca="1">IFERROR(__xludf.DUMMYFUNCTION("""COMPUTED_VALUE"""),"Governement Polytechnic College, Ropar")</f>
        <v>Governement Polytechnic College, Ropar</v>
      </c>
      <c r="B469" s="1" t="str">
        <f ca="1">IFERROR(__xludf.DUMMYFUNCTION("""COMPUTED_VALUE"""),"Ropar")</f>
        <v>Ropar</v>
      </c>
      <c r="C469" s="1" t="str">
        <f ca="1">IFERROR(__xludf.DUMMYFUNCTION("""COMPUTED_VALUE"""),"Workshop")</f>
        <v>Workshop</v>
      </c>
      <c r="D469" s="1" t="str">
        <f ca="1">IFERROR(__xludf.DUMMYFUNCTION("""COMPUTED_VALUE"""),"Vinod Sharma")</f>
        <v>Vinod Sharma</v>
      </c>
      <c r="E469" s="1" t="str">
        <f ca="1">IFERROR(__xludf.DUMMYFUNCTION("""COMPUTED_VALUE"""),"Workshop Instructor")</f>
        <v>Workshop Instructor</v>
      </c>
      <c r="F469" s="1" t="str">
        <f ca="1">IFERROR(__xludf.DUMMYFUNCTION("""COMPUTED_VALUE"""),"Vinodgpck@gmail.com")</f>
        <v>Vinodgpck@gmail.com</v>
      </c>
      <c r="G469" s="1">
        <f ca="1">IFERROR(__xludf.DUMMYFUNCTION("""COMPUTED_VALUE"""),9501219379)</f>
        <v>9501219379</v>
      </c>
    </row>
    <row r="470" spans="1:7" x14ac:dyDescent="0.3">
      <c r="A470" s="1" t="str">
        <f ca="1">IFERROR(__xludf.DUMMYFUNCTION("""COMPUTED_VALUE"""),"Governement Polytechnic College, Ropar")</f>
        <v>Governement Polytechnic College, Ropar</v>
      </c>
      <c r="B470" s="1" t="str">
        <f ca="1">IFERROR(__xludf.DUMMYFUNCTION("""COMPUTED_VALUE"""),"Ropar")</f>
        <v>Ropar</v>
      </c>
      <c r="C470" s="1" t="str">
        <f ca="1">IFERROR(__xludf.DUMMYFUNCTION("""COMPUTED_VALUE"""),"Workshop")</f>
        <v>Workshop</v>
      </c>
      <c r="D470" s="1" t="str">
        <f ca="1">IFERROR(__xludf.DUMMYFUNCTION("""COMPUTED_VALUE"""),"Vipin Kaura")</f>
        <v>Vipin Kaura</v>
      </c>
      <c r="E470" s="1" t="str">
        <f ca="1">IFERROR(__xludf.DUMMYFUNCTION("""COMPUTED_VALUE"""),"Workshop Instructor")</f>
        <v>Workshop Instructor</v>
      </c>
      <c r="F470" s="1" t="str">
        <f ca="1">IFERROR(__xludf.DUMMYFUNCTION("""COMPUTED_VALUE"""),"vipinkaurakumar@gmail.com")</f>
        <v>vipinkaurakumar@gmail.com</v>
      </c>
      <c r="G470" s="1">
        <f ca="1">IFERROR(__xludf.DUMMYFUNCTION("""COMPUTED_VALUE"""),9417192004)</f>
        <v>9417192004</v>
      </c>
    </row>
    <row r="471" spans="1:7" x14ac:dyDescent="0.3">
      <c r="A471" s="1" t="str">
        <f ca="1">IFERROR(__xludf.DUMMYFUNCTION("""COMPUTED_VALUE"""),"Governement Polytechnic College, Ropar")</f>
        <v>Governement Polytechnic College, Ropar</v>
      </c>
      <c r="B471" s="1" t="str">
        <f ca="1">IFERROR(__xludf.DUMMYFUNCTION("""COMPUTED_VALUE"""),"Ropar")</f>
        <v>Ropar</v>
      </c>
      <c r="C471" s="1" t="str">
        <f ca="1">IFERROR(__xludf.DUMMYFUNCTION("""COMPUTED_VALUE"""),"Information Technology")</f>
        <v>Information Technology</v>
      </c>
      <c r="D471" s="1" t="str">
        <f ca="1">IFERROR(__xludf.DUMMYFUNCTION("""COMPUTED_VALUE"""),"Sh. Gurupkar Singh")</f>
        <v>Sh. Gurupkar Singh</v>
      </c>
      <c r="E471" s="1" t="str">
        <f ca="1">IFERROR(__xludf.DUMMYFUNCTION("""COMPUTED_VALUE"""),"Sr. Lecturer")</f>
        <v>Sr. Lecturer</v>
      </c>
      <c r="F471" s="1" t="str">
        <f ca="1">IFERROR(__xludf.DUMMYFUNCTION("""COMPUTED_VALUE"""),"gurupkar.backup@gmail.com")</f>
        <v>gurupkar.backup@gmail.com</v>
      </c>
      <c r="G471" s="1">
        <f ca="1">IFERROR(__xludf.DUMMYFUNCTION("""COMPUTED_VALUE"""),8699113889)</f>
        <v>8699113889</v>
      </c>
    </row>
    <row r="472" spans="1:7" x14ac:dyDescent="0.3">
      <c r="A472" s="1" t="str">
        <f ca="1">IFERROR(__xludf.DUMMYFUNCTION("""COMPUTED_VALUE"""),"Governement Polytechnic College, Ropar")</f>
        <v>Governement Polytechnic College, Ropar</v>
      </c>
      <c r="B472" s="1" t="str">
        <f ca="1">IFERROR(__xludf.DUMMYFUNCTION("""COMPUTED_VALUE"""),"Ropar")</f>
        <v>Ropar</v>
      </c>
      <c r="C472" s="1" t="str">
        <f ca="1">IFERROR(__xludf.DUMMYFUNCTION("""COMPUTED_VALUE"""),"Chemical Engineering")</f>
        <v>Chemical Engineering</v>
      </c>
      <c r="D472" s="1" t="str">
        <f ca="1">IFERROR(__xludf.DUMMYFUNCTION("""COMPUTED_VALUE"""),"Smt. Amanjyot Kaur")</f>
        <v>Smt. Amanjyot Kaur</v>
      </c>
      <c r="E472" s="1" t="str">
        <f ca="1">IFERROR(__xludf.DUMMYFUNCTION("""COMPUTED_VALUE"""),"Lecturer")</f>
        <v>Lecturer</v>
      </c>
      <c r="F472" s="1" t="str">
        <f ca="1">IFERROR(__xludf.DUMMYFUNCTION("""COMPUTED_VALUE"""),"amanjyot04@gmail.com")</f>
        <v>amanjyot04@gmail.com</v>
      </c>
      <c r="G472" s="1">
        <f ca="1">IFERROR(__xludf.DUMMYFUNCTION("""COMPUTED_VALUE"""),9417861970)</f>
        <v>9417861970</v>
      </c>
    </row>
    <row r="473" spans="1:7" x14ac:dyDescent="0.3">
      <c r="A473" s="1" t="str">
        <f ca="1">IFERROR(__xludf.DUMMYFUNCTION("""COMPUTED_VALUE"""),"Governement Polytechnic College, Ropar")</f>
        <v>Governement Polytechnic College, Ropar</v>
      </c>
      <c r="B473" s="1" t="str">
        <f ca="1">IFERROR(__xludf.DUMMYFUNCTION("""COMPUTED_VALUE"""),"Ropar")</f>
        <v>Ropar</v>
      </c>
      <c r="C473" s="1" t="str">
        <f ca="1">IFERROR(__xludf.DUMMYFUNCTION("""COMPUTED_VALUE"""),"Chemical Engineering")</f>
        <v>Chemical Engineering</v>
      </c>
      <c r="D473" s="1" t="str">
        <f ca="1">IFERROR(__xludf.DUMMYFUNCTION("""COMPUTED_VALUE"""),"Smt. Naveen Atwal")</f>
        <v>Smt. Naveen Atwal</v>
      </c>
      <c r="E473" s="1" t="str">
        <f ca="1">IFERROR(__xludf.DUMMYFUNCTION("""COMPUTED_VALUE"""),"HOD")</f>
        <v>HOD</v>
      </c>
      <c r="F473" s="1" t="str">
        <f ca="1">IFERROR(__xludf.DUMMYFUNCTION("""COMPUTED_VALUE"""),"vasu.vayun@gmail.com")</f>
        <v>vasu.vayun@gmail.com</v>
      </c>
      <c r="G473" s="1">
        <f ca="1">IFERROR(__xludf.DUMMYFUNCTION("""COMPUTED_VALUE"""),9878491464)</f>
        <v>9878491464</v>
      </c>
    </row>
    <row r="474" spans="1:7" x14ac:dyDescent="0.3">
      <c r="A474" s="1" t="str">
        <f ca="1">IFERROR(__xludf.DUMMYFUNCTION("""COMPUTED_VALUE"""),"Governement Polytechnic College, Ropar")</f>
        <v>Governement Polytechnic College, Ropar</v>
      </c>
      <c r="B474" s="1" t="str">
        <f ca="1">IFERROR(__xludf.DUMMYFUNCTION("""COMPUTED_VALUE"""),"Ropar")</f>
        <v>Ropar</v>
      </c>
      <c r="C474" s="1" t="str">
        <f ca="1">IFERROR(__xludf.DUMMYFUNCTION("""COMPUTED_VALUE"""),"Computer Science and Engineering")</f>
        <v>Computer Science and Engineering</v>
      </c>
      <c r="D474" s="1" t="str">
        <f ca="1">IFERROR(__xludf.DUMMYFUNCTION("""COMPUTED_VALUE"""),"S. Ranjit Singh")</f>
        <v>S. Ranjit Singh</v>
      </c>
      <c r="E474" s="1" t="str">
        <f ca="1">IFERROR(__xludf.DUMMYFUNCTION("""COMPUTED_VALUE"""),"Sr. Lecturer")</f>
        <v>Sr. Lecturer</v>
      </c>
      <c r="F474" s="1" t="str">
        <f ca="1">IFERROR(__xludf.DUMMYFUNCTION("""COMPUTED_VALUE"""),"kang.ranjeet87@gmail.com")</f>
        <v>kang.ranjeet87@gmail.com</v>
      </c>
      <c r="G474" s="1">
        <f ca="1">IFERROR(__xludf.DUMMYFUNCTION("""COMPUTED_VALUE"""),9915527071)</f>
        <v>9915527071</v>
      </c>
    </row>
    <row r="475" spans="1:7" x14ac:dyDescent="0.3">
      <c r="A475" s="1" t="str">
        <f ca="1">IFERROR(__xludf.DUMMYFUNCTION("""COMPUTED_VALUE"""),"Governement Polytechnic College, Ropar")</f>
        <v>Governement Polytechnic College, Ropar</v>
      </c>
      <c r="B475" s="1" t="str">
        <f ca="1">IFERROR(__xludf.DUMMYFUNCTION("""COMPUTED_VALUE"""),"Ropar")</f>
        <v>Ropar</v>
      </c>
      <c r="C475" s="1" t="str">
        <f ca="1">IFERROR(__xludf.DUMMYFUNCTION("""COMPUTED_VALUE"""),"Mechanical Engineering")</f>
        <v>Mechanical Engineering</v>
      </c>
      <c r="D475" s="1" t="str">
        <f ca="1">IFERROR(__xludf.DUMMYFUNCTION("""COMPUTED_VALUE"""),"Abhishek Saini")</f>
        <v>Abhishek Saini</v>
      </c>
      <c r="E475" s="1" t="str">
        <f ca="1">IFERROR(__xludf.DUMMYFUNCTION("""COMPUTED_VALUE"""),"Lecturer")</f>
        <v>Lecturer</v>
      </c>
      <c r="F475" s="1" t="str">
        <f ca="1">IFERROR(__xludf.DUMMYFUNCTION("""COMPUTED_VALUE"""),"saini.abhi37@gmail.com")</f>
        <v>saini.abhi37@gmail.com</v>
      </c>
      <c r="G475" s="1">
        <f ca="1">IFERROR(__xludf.DUMMYFUNCTION("""COMPUTED_VALUE"""),9478320637)</f>
        <v>9478320637</v>
      </c>
    </row>
    <row r="476" spans="1:7" x14ac:dyDescent="0.3">
      <c r="A476" s="1" t="str">
        <f ca="1">IFERROR(__xludf.DUMMYFUNCTION("""COMPUTED_VALUE"""),"Governement Polytechnic College, Ropar")</f>
        <v>Governement Polytechnic College, Ropar</v>
      </c>
      <c r="B476" s="1" t="str">
        <f ca="1">IFERROR(__xludf.DUMMYFUNCTION("""COMPUTED_VALUE"""),"Ropar")</f>
        <v>Ropar</v>
      </c>
      <c r="C476" s="1" t="str">
        <f ca="1">IFERROR(__xludf.DUMMYFUNCTION("""COMPUTED_VALUE"""),"Mechanical Engineering")</f>
        <v>Mechanical Engineering</v>
      </c>
      <c r="D476" s="1" t="str">
        <f ca="1">IFERROR(__xludf.DUMMYFUNCTION("""COMPUTED_VALUE"""),"Damanpreet Singh")</f>
        <v>Damanpreet Singh</v>
      </c>
      <c r="E476" s="1" t="str">
        <f ca="1">IFERROR(__xludf.DUMMYFUNCTION("""COMPUTED_VALUE"""),"Lecturer")</f>
        <v>Lecturer</v>
      </c>
      <c r="F476" s="1" t="str">
        <f ca="1">IFERROR(__xludf.DUMMYFUNCTION("""COMPUTED_VALUE"""),"damanpreet.singh02@gmail.com ")</f>
        <v xml:space="preserve">damanpreet.singh02@gmail.com </v>
      </c>
      <c r="G476" s="1">
        <f ca="1">IFERROR(__xludf.DUMMYFUNCTION("""COMPUTED_VALUE"""),9814003498)</f>
        <v>9814003498</v>
      </c>
    </row>
    <row r="477" spans="1:7" x14ac:dyDescent="0.3">
      <c r="A477" s="1" t="str">
        <f ca="1">IFERROR(__xludf.DUMMYFUNCTION("""COMPUTED_VALUE"""),"Governement Polytechnic College, Ropar")</f>
        <v>Governement Polytechnic College, Ropar</v>
      </c>
      <c r="B477" s="1" t="str">
        <f ca="1">IFERROR(__xludf.DUMMYFUNCTION("""COMPUTED_VALUE"""),"Ropar")</f>
        <v>Ropar</v>
      </c>
      <c r="C477" s="1" t="str">
        <f ca="1">IFERROR(__xludf.DUMMYFUNCTION("""COMPUTED_VALUE"""),"Applied Science")</f>
        <v>Applied Science</v>
      </c>
      <c r="D477" s="1" t="str">
        <f ca="1">IFERROR(__xludf.DUMMYFUNCTION("""COMPUTED_VALUE"""),"Manoj Kumar")</f>
        <v>Manoj Kumar</v>
      </c>
      <c r="E477" s="1" t="str">
        <f ca="1">IFERROR(__xludf.DUMMYFUNCTION("""COMPUTED_VALUE"""),"Lecturer")</f>
        <v>Lecturer</v>
      </c>
      <c r="F477" s="1" t="str">
        <f ca="1">IFERROR(__xludf.DUMMYFUNCTION("""COMPUTED_VALUE"""),"manoj.cic@gmail.com")</f>
        <v>manoj.cic@gmail.com</v>
      </c>
      <c r="G477" s="1">
        <f ca="1">IFERROR(__xludf.DUMMYFUNCTION("""COMPUTED_VALUE"""),9463707701)</f>
        <v>9463707701</v>
      </c>
    </row>
    <row r="478" spans="1:7" x14ac:dyDescent="0.3">
      <c r="A478" s="1" t="str">
        <f ca="1">IFERROR(__xludf.DUMMYFUNCTION("""COMPUTED_VALUE"""),"Governement Polytechnic College, Ropar")</f>
        <v>Governement Polytechnic College, Ropar</v>
      </c>
      <c r="B478" s="1" t="str">
        <f ca="1">IFERROR(__xludf.DUMMYFUNCTION("""COMPUTED_VALUE"""),"Ropar")</f>
        <v>Ropar</v>
      </c>
      <c r="C478" s="1" t="str">
        <f ca="1">IFERROR(__xludf.DUMMYFUNCTION("""COMPUTED_VALUE"""),"Computer Science and Engineering")</f>
        <v>Computer Science and Engineering</v>
      </c>
      <c r="D478" s="1" t="str">
        <f ca="1">IFERROR(__xludf.DUMMYFUNCTION("""COMPUTED_VALUE"""),"Inderjot Kaur")</f>
        <v>Inderjot Kaur</v>
      </c>
      <c r="E478" s="1" t="str">
        <f ca="1">IFERROR(__xludf.DUMMYFUNCTION("""COMPUTED_VALUE"""),"Lecturer")</f>
        <v>Lecturer</v>
      </c>
      <c r="F478" s="1" t="str">
        <f ca="1">IFERROR(__xludf.DUMMYFUNCTION("""COMPUTED_VALUE"""),"inderpunjal@gmail.com")</f>
        <v>inderpunjal@gmail.com</v>
      </c>
      <c r="G478" s="1">
        <f ca="1">IFERROR(__xludf.DUMMYFUNCTION("""COMPUTED_VALUE"""),9463771024)</f>
        <v>9463771024</v>
      </c>
    </row>
    <row r="479" spans="1:7" x14ac:dyDescent="0.3">
      <c r="A479" s="1" t="str">
        <f ca="1">IFERROR(__xludf.DUMMYFUNCTION("""COMPUTED_VALUE"""),"Governement Polytechnic College, Khunimajra")</f>
        <v>Governement Polytechnic College, Khunimajra</v>
      </c>
      <c r="B479" s="1" t="str">
        <f ca="1">IFERROR(__xludf.DUMMYFUNCTION("""COMPUTED_VALUE"""),"SAS Nagar")</f>
        <v>SAS Nagar</v>
      </c>
      <c r="C479" s="1" t="str">
        <f ca="1">IFERROR(__xludf.DUMMYFUNCTION("""COMPUTED_VALUE"""),"Applied Science")</f>
        <v>Applied Science</v>
      </c>
      <c r="D479" s="1" t="str">
        <f ca="1">IFERROR(__xludf.DUMMYFUNCTION("""COMPUTED_VALUE"""),"Amandeep Kaur")</f>
        <v>Amandeep Kaur</v>
      </c>
      <c r="E479" s="1" t="str">
        <f ca="1">IFERROR(__xludf.DUMMYFUNCTION("""COMPUTED_VALUE"""),"Lecturer")</f>
        <v>Lecturer</v>
      </c>
      <c r="F479" s="1" t="str">
        <f ca="1">IFERROR(__xludf.DUMMYFUNCTION("""COMPUTED_VALUE"""),"amanenggpckm@gmail.com")</f>
        <v>amanenggpckm@gmail.com</v>
      </c>
      <c r="G479" s="1">
        <f ca="1">IFERROR(__xludf.DUMMYFUNCTION("""COMPUTED_VALUE"""),9779599885)</f>
        <v>9779599885</v>
      </c>
    </row>
    <row r="480" spans="1:7" x14ac:dyDescent="0.3">
      <c r="A480" s="1" t="str">
        <f ca="1">IFERROR(__xludf.DUMMYFUNCTION("""COMPUTED_VALUE"""),"Governement Polytechnic College, Khunimajra")</f>
        <v>Governement Polytechnic College, Khunimajra</v>
      </c>
      <c r="B480" s="1" t="str">
        <f ca="1">IFERROR(__xludf.DUMMYFUNCTION("""COMPUTED_VALUE"""),"SAS Nagar")</f>
        <v>SAS Nagar</v>
      </c>
      <c r="C480" s="1" t="str">
        <f ca="1">IFERROR(__xludf.DUMMYFUNCTION("""COMPUTED_VALUE"""),"Computer Science and Engineering")</f>
        <v>Computer Science and Engineering</v>
      </c>
      <c r="D480" s="1" t="str">
        <f ca="1">IFERROR(__xludf.DUMMYFUNCTION("""COMPUTED_VALUE"""),"Amandeep Kaur")</f>
        <v>Amandeep Kaur</v>
      </c>
      <c r="E480" s="1" t="str">
        <f ca="1">IFERROR(__xludf.DUMMYFUNCTION("""COMPUTED_VALUE"""),"Lecturer")</f>
        <v>Lecturer</v>
      </c>
      <c r="F480" s="1" t="str">
        <f ca="1">IFERROR(__xludf.DUMMYFUNCTION("""COMPUTED_VALUE"""),"aman12484@gmail.com")</f>
        <v>aman12484@gmail.com</v>
      </c>
      <c r="G480" s="1">
        <f ca="1">IFERROR(__xludf.DUMMYFUNCTION("""COMPUTED_VALUE"""),9646229005)</f>
        <v>9646229005</v>
      </c>
    </row>
    <row r="481" spans="1:7" x14ac:dyDescent="0.3">
      <c r="A481" s="1" t="str">
        <f ca="1">IFERROR(__xludf.DUMMYFUNCTION("""COMPUTED_VALUE"""),"Governement Polytechnic College, Khunimajra")</f>
        <v>Governement Polytechnic College, Khunimajra</v>
      </c>
      <c r="B481" s="1" t="str">
        <f ca="1">IFERROR(__xludf.DUMMYFUNCTION("""COMPUTED_VALUE"""),"SAS Nagar")</f>
        <v>SAS Nagar</v>
      </c>
      <c r="C481" s="1" t="str">
        <f ca="1">IFERROR(__xludf.DUMMYFUNCTION("""COMPUTED_VALUE"""),"Electrical Engineering")</f>
        <v>Electrical Engineering</v>
      </c>
      <c r="D481" s="1" t="str">
        <f ca="1">IFERROR(__xludf.DUMMYFUNCTION("""COMPUTED_VALUE"""),"Amandeep Singh")</f>
        <v>Amandeep Singh</v>
      </c>
      <c r="E481" s="1" t="str">
        <f ca="1">IFERROR(__xludf.DUMMYFUNCTION("""COMPUTED_VALUE"""),"Lecturer")</f>
        <v>Lecturer</v>
      </c>
      <c r="F481" s="1" t="str">
        <f ca="1">IFERROR(__xludf.DUMMYFUNCTION("""COMPUTED_VALUE"""),"Aman.dhaliwal4817@gmail.com")</f>
        <v>Aman.dhaliwal4817@gmail.com</v>
      </c>
      <c r="G481" s="1">
        <f ca="1">IFERROR(__xludf.DUMMYFUNCTION("""COMPUTED_VALUE"""),9478082989)</f>
        <v>9478082989</v>
      </c>
    </row>
    <row r="482" spans="1:7" x14ac:dyDescent="0.3">
      <c r="A482" s="1" t="str">
        <f ca="1">IFERROR(__xludf.DUMMYFUNCTION("""COMPUTED_VALUE"""),"Governement Polytechnic College, Khunimajra")</f>
        <v>Governement Polytechnic College, Khunimajra</v>
      </c>
      <c r="B482" s="1" t="str">
        <f ca="1">IFERROR(__xludf.DUMMYFUNCTION("""COMPUTED_VALUE"""),"SAS Nagar")</f>
        <v>SAS Nagar</v>
      </c>
      <c r="C482" s="1" t="str">
        <f ca="1">IFERROR(__xludf.DUMMYFUNCTION("""COMPUTED_VALUE"""),"Electronics and Communications Engineering")</f>
        <v>Electronics and Communications Engineering</v>
      </c>
      <c r="D482" s="1" t="str">
        <f ca="1">IFERROR(__xludf.DUMMYFUNCTION("""COMPUTED_VALUE"""),"Amritpal Singh")</f>
        <v>Amritpal Singh</v>
      </c>
      <c r="E482" s="1" t="str">
        <f ca="1">IFERROR(__xludf.DUMMYFUNCTION("""COMPUTED_VALUE"""),"Lecturer")</f>
        <v>Lecturer</v>
      </c>
      <c r="F482" s="1" t="str">
        <f ca="1">IFERROR(__xludf.DUMMYFUNCTION("""COMPUTED_VALUE"""),"amritpal.singh50@gmail.com")</f>
        <v>amritpal.singh50@gmail.com</v>
      </c>
      <c r="G482" s="1">
        <f ca="1">IFERROR(__xludf.DUMMYFUNCTION("""COMPUTED_VALUE"""),9876666831)</f>
        <v>9876666831</v>
      </c>
    </row>
    <row r="483" spans="1:7" x14ac:dyDescent="0.3">
      <c r="A483" s="1" t="str">
        <f ca="1">IFERROR(__xludf.DUMMYFUNCTION("""COMPUTED_VALUE"""),"Governement Polytechnic College, Khunimajra")</f>
        <v>Governement Polytechnic College, Khunimajra</v>
      </c>
      <c r="B483" s="1" t="str">
        <f ca="1">IFERROR(__xludf.DUMMYFUNCTION("""COMPUTED_VALUE"""),"SAS Nagar")</f>
        <v>SAS Nagar</v>
      </c>
      <c r="C483" s="1" t="str">
        <f ca="1">IFERROR(__xludf.DUMMYFUNCTION("""COMPUTED_VALUE"""),"Electrical Engineering")</f>
        <v>Electrical Engineering</v>
      </c>
      <c r="D483" s="1" t="str">
        <f ca="1">IFERROR(__xludf.DUMMYFUNCTION("""COMPUTED_VALUE"""),"Anshu Sharma")</f>
        <v>Anshu Sharma</v>
      </c>
      <c r="E483" s="1" t="str">
        <f ca="1">IFERROR(__xludf.DUMMYFUNCTION("""COMPUTED_VALUE"""),"HOD")</f>
        <v>HOD</v>
      </c>
      <c r="F483" s="1" t="str">
        <f ca="1">IFERROR(__xludf.DUMMYFUNCTION("""COMPUTED_VALUE"""),"anshusharma0107@gmail.com")</f>
        <v>anshusharma0107@gmail.com</v>
      </c>
      <c r="G483" s="1">
        <f ca="1">IFERROR(__xludf.DUMMYFUNCTION("""COMPUTED_VALUE"""),9914142915)</f>
        <v>9914142915</v>
      </c>
    </row>
    <row r="484" spans="1:7" x14ac:dyDescent="0.3">
      <c r="A484" s="1" t="str">
        <f ca="1">IFERROR(__xludf.DUMMYFUNCTION("""COMPUTED_VALUE"""),"Governement Polytechnic College, Khunimajra")</f>
        <v>Governement Polytechnic College, Khunimajra</v>
      </c>
      <c r="B484" s="1" t="str">
        <f ca="1">IFERROR(__xludf.DUMMYFUNCTION("""COMPUTED_VALUE"""),"SAS Nagar")</f>
        <v>SAS Nagar</v>
      </c>
      <c r="C484" s="1" t="str">
        <f ca="1">IFERROR(__xludf.DUMMYFUNCTION("""COMPUTED_VALUE"""),"Computer Science and Engineering")</f>
        <v>Computer Science and Engineering</v>
      </c>
      <c r="D484" s="1" t="str">
        <f ca="1">IFERROR(__xludf.DUMMYFUNCTION("""COMPUTED_VALUE"""),"Arunima")</f>
        <v>Arunima</v>
      </c>
      <c r="E484" s="1" t="str">
        <f ca="1">IFERROR(__xludf.DUMMYFUNCTION("""COMPUTED_VALUE"""),"Sr.Lecturer")</f>
        <v>Sr.Lecturer</v>
      </c>
      <c r="F484" s="1" t="str">
        <f ca="1">IFERROR(__xludf.DUMMYFUNCTION("""COMPUTED_VALUE"""),"Arunimavasudeva@gmail.com")</f>
        <v>Arunimavasudeva@gmail.com</v>
      </c>
      <c r="G484" s="1">
        <f ca="1">IFERROR(__xludf.DUMMYFUNCTION("""COMPUTED_VALUE"""),9501025044)</f>
        <v>9501025044</v>
      </c>
    </row>
    <row r="485" spans="1:7" x14ac:dyDescent="0.3">
      <c r="A485" s="1" t="str">
        <f ca="1">IFERROR(__xludf.DUMMYFUNCTION("""COMPUTED_VALUE"""),"Governement Polytechnic College, Khunimajra")</f>
        <v>Governement Polytechnic College, Khunimajra</v>
      </c>
      <c r="B485" s="1" t="str">
        <f ca="1">IFERROR(__xludf.DUMMYFUNCTION("""COMPUTED_VALUE"""),"SAS Nagar")</f>
        <v>SAS Nagar</v>
      </c>
      <c r="C485" s="1" t="str">
        <f ca="1">IFERROR(__xludf.DUMMYFUNCTION("""COMPUTED_VALUE"""),"Applied Science")</f>
        <v>Applied Science</v>
      </c>
      <c r="D485" s="1" t="str">
        <f ca="1">IFERROR(__xludf.DUMMYFUNCTION("""COMPUTED_VALUE"""),"Anu Bala")</f>
        <v>Anu Bala</v>
      </c>
      <c r="E485" s="1" t="str">
        <f ca="1">IFERROR(__xludf.DUMMYFUNCTION("""COMPUTED_VALUE"""),"Lecturer")</f>
        <v>Lecturer</v>
      </c>
      <c r="F485" s="1" t="str">
        <f ca="1">IFERROR(__xludf.DUMMYFUNCTION("""COMPUTED_VALUE"""),"garg.supriya@gmail.com")</f>
        <v>garg.supriya@gmail.com</v>
      </c>
      <c r="G485" s="1">
        <f ca="1">IFERROR(__xludf.DUMMYFUNCTION("""COMPUTED_VALUE"""),9530866484)</f>
        <v>9530866484</v>
      </c>
    </row>
    <row r="486" spans="1:7" x14ac:dyDescent="0.3">
      <c r="A486" s="1" t="str">
        <f ca="1">IFERROR(__xludf.DUMMYFUNCTION("""COMPUTED_VALUE"""),"Governement Polytechnic College, Khunimajra")</f>
        <v>Governement Polytechnic College, Khunimajra</v>
      </c>
      <c r="B486" s="1" t="str">
        <f ca="1">IFERROR(__xludf.DUMMYFUNCTION("""COMPUTED_VALUE"""),"SAS Nagar")</f>
        <v>SAS Nagar</v>
      </c>
      <c r="C486" s="1" t="str">
        <f ca="1">IFERROR(__xludf.DUMMYFUNCTION("""COMPUTED_VALUE"""),"Workshop")</f>
        <v>Workshop</v>
      </c>
      <c r="D486" s="1" t="str">
        <f ca="1">IFERROR(__xludf.DUMMYFUNCTION("""COMPUTED_VALUE"""),"Anubhav Taheem")</f>
        <v>Anubhav Taheem</v>
      </c>
      <c r="E486" s="1" t="str">
        <f ca="1">IFERROR(__xludf.DUMMYFUNCTION("""COMPUTED_VALUE"""),"Workshop Superintendent")</f>
        <v>Workshop Superintendent</v>
      </c>
      <c r="F486" s="1" t="str">
        <f ca="1">IFERROR(__xludf.DUMMYFUNCTION("""COMPUTED_VALUE"""),"anubhavtaheem@gmail.com")</f>
        <v>anubhavtaheem@gmail.com</v>
      </c>
      <c r="G486" s="1">
        <f ca="1">IFERROR(__xludf.DUMMYFUNCTION("""COMPUTED_VALUE"""),9815572512)</f>
        <v>9815572512</v>
      </c>
    </row>
    <row r="487" spans="1:7" x14ac:dyDescent="0.3">
      <c r="A487" s="1" t="str">
        <f ca="1">IFERROR(__xludf.DUMMYFUNCTION("""COMPUTED_VALUE"""),"Governement Polytechnic College, Khunimajra")</f>
        <v>Governement Polytechnic College, Khunimajra</v>
      </c>
      <c r="B487" s="1" t="str">
        <f ca="1">IFERROR(__xludf.DUMMYFUNCTION("""COMPUTED_VALUE"""),"SAS Nagar")</f>
        <v>SAS Nagar</v>
      </c>
      <c r="C487" s="1" t="str">
        <f ca="1">IFERROR(__xludf.DUMMYFUNCTION("""COMPUTED_VALUE"""),"Applied Science")</f>
        <v>Applied Science</v>
      </c>
      <c r="D487" s="1" t="str">
        <f ca="1">IFERROR(__xludf.DUMMYFUNCTION("""COMPUTED_VALUE"""),"Appanjit Kaur")</f>
        <v>Appanjit Kaur</v>
      </c>
      <c r="E487" s="1" t="str">
        <f ca="1">IFERROR(__xludf.DUMMYFUNCTION("""COMPUTED_VALUE"""),"Lecturer")</f>
        <v>Lecturer</v>
      </c>
      <c r="F487" s="1" t="str">
        <f ca="1">IFERROR(__xludf.DUMMYFUNCTION("""COMPUTED_VALUE"""),"appan4444@gmail.com")</f>
        <v>appan4444@gmail.com</v>
      </c>
      <c r="G487" s="1">
        <f ca="1">IFERROR(__xludf.DUMMYFUNCTION("""COMPUTED_VALUE"""),7707887877)</f>
        <v>7707887877</v>
      </c>
    </row>
    <row r="488" spans="1:7" x14ac:dyDescent="0.3">
      <c r="A488" s="1" t="str">
        <f ca="1">IFERROR(__xludf.DUMMYFUNCTION("""COMPUTED_VALUE"""),"Governement Polytechnic College, Khunimajra")</f>
        <v>Governement Polytechnic College, Khunimajra</v>
      </c>
      <c r="B488" s="1" t="str">
        <f ca="1">IFERROR(__xludf.DUMMYFUNCTION("""COMPUTED_VALUE"""),"SAS Nagar")</f>
        <v>SAS Nagar</v>
      </c>
      <c r="C488" s="1" t="str">
        <f ca="1">IFERROR(__xludf.DUMMYFUNCTION("""COMPUTED_VALUE"""),"Electrical Engineering")</f>
        <v>Electrical Engineering</v>
      </c>
      <c r="D488" s="1" t="str">
        <f ca="1">IFERROR(__xludf.DUMMYFUNCTION("""COMPUTED_VALUE"""),"Avinish")</f>
        <v>Avinish</v>
      </c>
      <c r="E488" s="1" t="str">
        <f ca="1">IFERROR(__xludf.DUMMYFUNCTION("""COMPUTED_VALUE"""),"Lecturer")</f>
        <v>Lecturer</v>
      </c>
      <c r="F488" s="1" t="str">
        <f ca="1">IFERROR(__xludf.DUMMYFUNCTION("""COMPUTED_VALUE"""),"avinish33261@gmail.com")</f>
        <v>avinish33261@gmail.com</v>
      </c>
      <c r="G488" s="1">
        <f ca="1">IFERROR(__xludf.DUMMYFUNCTION("""COMPUTED_VALUE"""),9988078295)</f>
        <v>9988078295</v>
      </c>
    </row>
    <row r="489" spans="1:7" x14ac:dyDescent="0.3">
      <c r="A489" s="1" t="str">
        <f ca="1">IFERROR(__xludf.DUMMYFUNCTION("""COMPUTED_VALUE"""),"Governement Polytechnic College, Khunimajra")</f>
        <v>Governement Polytechnic College, Khunimajra</v>
      </c>
      <c r="B489" s="1" t="str">
        <f ca="1">IFERROR(__xludf.DUMMYFUNCTION("""COMPUTED_VALUE"""),"SAS Nagar")</f>
        <v>SAS Nagar</v>
      </c>
      <c r="C489" s="1" t="str">
        <f ca="1">IFERROR(__xludf.DUMMYFUNCTION("""COMPUTED_VALUE"""),"Civil Engineering")</f>
        <v>Civil Engineering</v>
      </c>
      <c r="D489" s="1" t="str">
        <f ca="1">IFERROR(__xludf.DUMMYFUNCTION("""COMPUTED_VALUE"""),"Barinder Partap Singh")</f>
        <v>Barinder Partap Singh</v>
      </c>
      <c r="E489" s="1" t="str">
        <f ca="1">IFERROR(__xludf.DUMMYFUNCTION("""COMPUTED_VALUE"""),"Lecturer")</f>
        <v>Lecturer</v>
      </c>
      <c r="F489" s="1" t="str">
        <f ca="1">IFERROR(__xludf.DUMMYFUNCTION("""COMPUTED_VALUE"""),"barinder.partapsingh@gmail.com")</f>
        <v>barinder.partapsingh@gmail.com</v>
      </c>
      <c r="G489" s="1">
        <f ca="1">IFERROR(__xludf.DUMMYFUNCTION("""COMPUTED_VALUE"""),7508325292)</f>
        <v>7508325292</v>
      </c>
    </row>
    <row r="490" spans="1:7" x14ac:dyDescent="0.3">
      <c r="A490" s="1" t="str">
        <f ca="1">IFERROR(__xludf.DUMMYFUNCTION("""COMPUTED_VALUE"""),"Governement Polytechnic College, Khunimajra")</f>
        <v>Governement Polytechnic College, Khunimajra</v>
      </c>
      <c r="B490" s="1" t="str">
        <f ca="1">IFERROR(__xludf.DUMMYFUNCTION("""COMPUTED_VALUE"""),"SAS Nagar")</f>
        <v>SAS Nagar</v>
      </c>
      <c r="C490" s="1" t="str">
        <f ca="1">IFERROR(__xludf.DUMMYFUNCTION("""COMPUTED_VALUE"""),"Medical Lab Technology")</f>
        <v>Medical Lab Technology</v>
      </c>
      <c r="D490" s="1" t="str">
        <f ca="1">IFERROR(__xludf.DUMMYFUNCTION("""COMPUTED_VALUE"""),"Chaffy Sachdeva")</f>
        <v>Chaffy Sachdeva</v>
      </c>
      <c r="E490" s="1" t="str">
        <f ca="1">IFERROR(__xludf.DUMMYFUNCTION("""COMPUTED_VALUE"""),"Lecturer")</f>
        <v>Lecturer</v>
      </c>
      <c r="F490" s="1" t="str">
        <f ca="1">IFERROR(__xludf.DUMMYFUNCTION("""COMPUTED_VALUE"""),"chaffys@gmail.com")</f>
        <v>chaffys@gmail.com</v>
      </c>
      <c r="G490" s="1">
        <f ca="1">IFERROR(__xludf.DUMMYFUNCTION("""COMPUTED_VALUE"""),9855278677)</f>
        <v>9855278677</v>
      </c>
    </row>
    <row r="491" spans="1:7" x14ac:dyDescent="0.3">
      <c r="A491" s="1" t="str">
        <f ca="1">IFERROR(__xludf.DUMMYFUNCTION("""COMPUTED_VALUE"""),"Governement Polytechnic College, Khunimajra")</f>
        <v>Governement Polytechnic College, Khunimajra</v>
      </c>
      <c r="B491" s="1" t="str">
        <f ca="1">IFERROR(__xludf.DUMMYFUNCTION("""COMPUTED_VALUE"""),"SAS Nagar")</f>
        <v>SAS Nagar</v>
      </c>
      <c r="C491" s="1" t="str">
        <f ca="1">IFERROR(__xludf.DUMMYFUNCTION("""COMPUTED_VALUE"""),"Computer Science and Engineering")</f>
        <v>Computer Science and Engineering</v>
      </c>
      <c r="D491" s="1" t="str">
        <f ca="1">IFERROR(__xludf.DUMMYFUNCTION("""COMPUTED_VALUE"""),"Divya Jyoti")</f>
        <v>Divya Jyoti</v>
      </c>
      <c r="E491" s="1" t="str">
        <f ca="1">IFERROR(__xludf.DUMMYFUNCTION("""COMPUTED_VALUE"""),"Lecturer")</f>
        <v>Lecturer</v>
      </c>
      <c r="F491" s="1" t="str">
        <f ca="1">IFERROR(__xludf.DUMMYFUNCTION("""COMPUTED_VALUE"""),"lecturerdivyajyoti@gmail.com")</f>
        <v>lecturerdivyajyoti@gmail.com</v>
      </c>
      <c r="G491" s="1">
        <f ca="1">IFERROR(__xludf.DUMMYFUNCTION("""COMPUTED_VALUE"""),9463473515)</f>
        <v>9463473515</v>
      </c>
    </row>
    <row r="492" spans="1:7" x14ac:dyDescent="0.3">
      <c r="A492" s="1" t="str">
        <f ca="1">IFERROR(__xludf.DUMMYFUNCTION("""COMPUTED_VALUE"""),"Governement Polytechnic College, Khunimajra")</f>
        <v>Governement Polytechnic College, Khunimajra</v>
      </c>
      <c r="B492" s="1" t="str">
        <f ca="1">IFERROR(__xludf.DUMMYFUNCTION("""COMPUTED_VALUE"""),"SAS Nagar")</f>
        <v>SAS Nagar</v>
      </c>
      <c r="C492" s="1" t="str">
        <f ca="1">IFERROR(__xludf.DUMMYFUNCTION("""COMPUTED_VALUE"""),"I.T.")</f>
        <v>I.T.</v>
      </c>
      <c r="D492" s="1" t="str">
        <f ca="1">IFERROR(__xludf.DUMMYFUNCTION("""COMPUTED_VALUE"""),"Dinshaw Kataria")</f>
        <v>Dinshaw Kataria</v>
      </c>
      <c r="E492" s="1" t="str">
        <f ca="1">IFERROR(__xludf.DUMMYFUNCTION("""COMPUTED_VALUE"""),"Lecturer")</f>
        <v>Lecturer</v>
      </c>
      <c r="F492" s="1" t="str">
        <f ca="1">IFERROR(__xludf.DUMMYFUNCTION("""COMPUTED_VALUE"""),"dinshawkataria@gmail.com")</f>
        <v>dinshawkataria@gmail.com</v>
      </c>
      <c r="G492" s="1">
        <f ca="1">IFERROR(__xludf.DUMMYFUNCTION("""COMPUTED_VALUE"""),9988837776)</f>
        <v>9988837776</v>
      </c>
    </row>
    <row r="493" spans="1:7" x14ac:dyDescent="0.3">
      <c r="A493" s="1" t="str">
        <f ca="1">IFERROR(__xludf.DUMMYFUNCTION("""COMPUTED_VALUE"""),"Governement Polytechnic College, Khunimajra")</f>
        <v>Governement Polytechnic College, Khunimajra</v>
      </c>
      <c r="B493" s="1" t="str">
        <f ca="1">IFERROR(__xludf.DUMMYFUNCTION("""COMPUTED_VALUE"""),"SAS Nagar")</f>
        <v>SAS Nagar</v>
      </c>
      <c r="C493" s="1" t="str">
        <f ca="1">IFERROR(__xludf.DUMMYFUNCTION("""COMPUTED_VALUE"""),"Civil Engineering")</f>
        <v>Civil Engineering</v>
      </c>
      <c r="D493" s="1" t="str">
        <f ca="1">IFERROR(__xludf.DUMMYFUNCTION("""COMPUTED_VALUE"""),"Gurbakshish Singh")</f>
        <v>Gurbakshish Singh</v>
      </c>
      <c r="E493" s="1" t="str">
        <f ca="1">IFERROR(__xludf.DUMMYFUNCTION("""COMPUTED_VALUE"""),"Sr. Lecturer")</f>
        <v>Sr. Lecturer</v>
      </c>
      <c r="F493" s="1" t="str">
        <f ca="1">IFERROR(__xludf.DUMMYFUNCTION("""COMPUTED_VALUE"""),"guri02@gmail.com")</f>
        <v>guri02@gmail.com</v>
      </c>
      <c r="G493" s="1">
        <f ca="1">IFERROR(__xludf.DUMMYFUNCTION("""COMPUTED_VALUE"""),9915776350)</f>
        <v>9915776350</v>
      </c>
    </row>
    <row r="494" spans="1:7" x14ac:dyDescent="0.3">
      <c r="A494" s="1" t="str">
        <f ca="1">IFERROR(__xludf.DUMMYFUNCTION("""COMPUTED_VALUE"""),"Governement Polytechnic College, Khunimajra")</f>
        <v>Governement Polytechnic College, Khunimajra</v>
      </c>
      <c r="B494" s="1" t="str">
        <f ca="1">IFERROR(__xludf.DUMMYFUNCTION("""COMPUTED_VALUE"""),"SAS Nagar")</f>
        <v>SAS Nagar</v>
      </c>
      <c r="C494" s="1" t="str">
        <f ca="1">IFERROR(__xludf.DUMMYFUNCTION("""COMPUTED_VALUE"""),"Electronics and Communications Engineering")</f>
        <v>Electronics and Communications Engineering</v>
      </c>
      <c r="D494" s="1" t="str">
        <f ca="1">IFERROR(__xludf.DUMMYFUNCTION("""COMPUTED_VALUE"""),"Gurmail Singh")</f>
        <v>Gurmail Singh</v>
      </c>
      <c r="E494" s="1" t="str">
        <f ca="1">IFERROR(__xludf.DUMMYFUNCTION("""COMPUTED_VALUE"""),"HOD")</f>
        <v>HOD</v>
      </c>
      <c r="F494" s="1" t="str">
        <f ca="1">IFERROR(__xludf.DUMMYFUNCTION("""COMPUTED_VALUE"""),"guri5468@gmail.com")</f>
        <v>guri5468@gmail.com</v>
      </c>
      <c r="G494" s="1">
        <f ca="1">IFERROR(__xludf.DUMMYFUNCTION("""COMPUTED_VALUE"""),9501118663)</f>
        <v>9501118663</v>
      </c>
    </row>
    <row r="495" spans="1:7" x14ac:dyDescent="0.3">
      <c r="A495" s="1" t="str">
        <f ca="1">IFERROR(__xludf.DUMMYFUNCTION("""COMPUTED_VALUE"""),"Governement Polytechnic College, Khunimajra")</f>
        <v>Governement Polytechnic College, Khunimajra</v>
      </c>
      <c r="B495" s="1" t="str">
        <f ca="1">IFERROR(__xludf.DUMMYFUNCTION("""COMPUTED_VALUE"""),"SAS Nagar")</f>
        <v>SAS Nagar</v>
      </c>
      <c r="C495" s="1" t="str">
        <f ca="1">IFERROR(__xludf.DUMMYFUNCTION("""COMPUTED_VALUE"""),"Chemical Engineering")</f>
        <v>Chemical Engineering</v>
      </c>
      <c r="D495" s="1" t="str">
        <f ca="1">IFERROR(__xludf.DUMMYFUNCTION("""COMPUTED_VALUE"""),"Gursewak Singh")</f>
        <v>Gursewak Singh</v>
      </c>
      <c r="E495" s="1" t="str">
        <f ca="1">IFERROR(__xludf.DUMMYFUNCTION("""COMPUTED_VALUE"""),"Lecturer")</f>
        <v>Lecturer</v>
      </c>
      <c r="F495" s="1" t="str">
        <f ca="1">IFERROR(__xludf.DUMMYFUNCTION("""COMPUTED_VALUE"""),"gursewak78@gmail.com")</f>
        <v>gursewak78@gmail.com</v>
      </c>
      <c r="G495" s="1">
        <f ca="1">IFERROR(__xludf.DUMMYFUNCTION("""COMPUTED_VALUE"""),8872700178)</f>
        <v>8872700178</v>
      </c>
    </row>
    <row r="496" spans="1:7" x14ac:dyDescent="0.3">
      <c r="A496" s="1" t="str">
        <f ca="1">IFERROR(__xludf.DUMMYFUNCTION("""COMPUTED_VALUE"""),"Governement Polytechnic College, Khunimajra")</f>
        <v>Governement Polytechnic College, Khunimajra</v>
      </c>
      <c r="B496" s="1" t="str">
        <f ca="1">IFERROR(__xludf.DUMMYFUNCTION("""COMPUTED_VALUE"""),"SAS Nagar")</f>
        <v>SAS Nagar</v>
      </c>
      <c r="C496" s="1" t="str">
        <f ca="1">IFERROR(__xludf.DUMMYFUNCTION("""COMPUTED_VALUE"""),"Medical Lab Technology")</f>
        <v>Medical Lab Technology</v>
      </c>
      <c r="D496" s="1" t="str">
        <f ca="1">IFERROR(__xludf.DUMMYFUNCTION("""COMPUTED_VALUE"""),"Harpreet Kaur")</f>
        <v>Harpreet Kaur</v>
      </c>
      <c r="E496" s="1" t="str">
        <f ca="1">IFERROR(__xludf.DUMMYFUNCTION("""COMPUTED_VALUE"""),"HOD")</f>
        <v>HOD</v>
      </c>
      <c r="F496" s="1" t="str">
        <f ca="1">IFERROR(__xludf.DUMMYFUNCTION("""COMPUTED_VALUE"""),"harpeetsidhu56@gmail.com")</f>
        <v>harpeetsidhu56@gmail.com</v>
      </c>
      <c r="G496" s="1">
        <f ca="1">IFERROR(__xludf.DUMMYFUNCTION("""COMPUTED_VALUE"""),9501115000)</f>
        <v>9501115000</v>
      </c>
    </row>
    <row r="497" spans="1:7" x14ac:dyDescent="0.3">
      <c r="A497" s="1" t="str">
        <f ca="1">IFERROR(__xludf.DUMMYFUNCTION("""COMPUTED_VALUE"""),"Governement Polytechnic College, Khunimajra")</f>
        <v>Governement Polytechnic College, Khunimajra</v>
      </c>
      <c r="B497" s="1" t="str">
        <f ca="1">IFERROR(__xludf.DUMMYFUNCTION("""COMPUTED_VALUE"""),"SAS Nagar")</f>
        <v>SAS Nagar</v>
      </c>
      <c r="C497" s="1" t="str">
        <f ca="1">IFERROR(__xludf.DUMMYFUNCTION("""COMPUTED_VALUE"""),"Workshop")</f>
        <v>Workshop</v>
      </c>
      <c r="D497" s="1" t="str">
        <f ca="1">IFERROR(__xludf.DUMMYFUNCTION("""COMPUTED_VALUE"""),"Harkesh Kumar")</f>
        <v>Harkesh Kumar</v>
      </c>
      <c r="E497" s="1" t="str">
        <f ca="1">IFERROR(__xludf.DUMMYFUNCTION("""COMPUTED_VALUE"""),"Forman Instructor")</f>
        <v>Forman Instructor</v>
      </c>
      <c r="F497" s="1" t="str">
        <f ca="1">IFERROR(__xludf.DUMMYFUNCTION("""COMPUTED_VALUE"""),"harkeshkumar723@gmail.com")</f>
        <v>harkeshkumar723@gmail.com</v>
      </c>
      <c r="G497" s="1">
        <f ca="1">IFERROR(__xludf.DUMMYFUNCTION("""COMPUTED_VALUE"""),9501995000)</f>
        <v>9501995000</v>
      </c>
    </row>
    <row r="498" spans="1:7" x14ac:dyDescent="0.3">
      <c r="A498" s="1" t="str">
        <f ca="1">IFERROR(__xludf.DUMMYFUNCTION("""COMPUTED_VALUE"""),"Governement Polytechnic College, Khunimajra")</f>
        <v>Governement Polytechnic College, Khunimajra</v>
      </c>
      <c r="B498" s="1" t="str">
        <f ca="1">IFERROR(__xludf.DUMMYFUNCTION("""COMPUTED_VALUE"""),"SAS Nagar")</f>
        <v>SAS Nagar</v>
      </c>
      <c r="C498" s="1" t="str">
        <f ca="1">IFERROR(__xludf.DUMMYFUNCTION("""COMPUTED_VALUE"""),"Mechanical Engineering")</f>
        <v>Mechanical Engineering</v>
      </c>
      <c r="D498" s="1" t="str">
        <f ca="1">IFERROR(__xludf.DUMMYFUNCTION("""COMPUTED_VALUE"""),"Harvinder Singh")</f>
        <v>Harvinder Singh</v>
      </c>
      <c r="E498" s="1" t="str">
        <f ca="1">IFERROR(__xludf.DUMMYFUNCTION("""COMPUTED_VALUE"""),"Lecturer")</f>
        <v>Lecturer</v>
      </c>
      <c r="F498" s="1" t="str">
        <f ca="1">IFERROR(__xludf.DUMMYFUNCTION("""COMPUTED_VALUE"""),"hsofficial2020@gmail.com")</f>
        <v>hsofficial2020@gmail.com</v>
      </c>
      <c r="G498" s="1">
        <f ca="1">IFERROR(__xludf.DUMMYFUNCTION("""COMPUTED_VALUE"""),9017266701)</f>
        <v>9017266701</v>
      </c>
    </row>
    <row r="499" spans="1:7" x14ac:dyDescent="0.3">
      <c r="A499" s="1" t="str">
        <f ca="1">IFERROR(__xludf.DUMMYFUNCTION("""COMPUTED_VALUE"""),"Governement Polytechnic College, Khunimajra")</f>
        <v>Governement Polytechnic College, Khunimajra</v>
      </c>
      <c r="B499" s="1" t="str">
        <f ca="1">IFERROR(__xludf.DUMMYFUNCTION("""COMPUTED_VALUE"""),"SAS Nagar")</f>
        <v>SAS Nagar</v>
      </c>
      <c r="C499" s="1" t="str">
        <f ca="1">IFERROR(__xludf.DUMMYFUNCTION("""COMPUTED_VALUE"""),"Applied Science")</f>
        <v>Applied Science</v>
      </c>
      <c r="D499" s="1" t="str">
        <f ca="1">IFERROR(__xludf.DUMMYFUNCTION("""COMPUTED_VALUE"""),"Kavita Monga")</f>
        <v>Kavita Monga</v>
      </c>
      <c r="E499" s="1" t="str">
        <f ca="1">IFERROR(__xludf.DUMMYFUNCTION("""COMPUTED_VALUE"""),"HOD")</f>
        <v>HOD</v>
      </c>
      <c r="F499" s="1" t="str">
        <f ca="1">IFERROR(__xludf.DUMMYFUNCTION("""COMPUTED_VALUE"""),"kavitamonga@gmail.com")</f>
        <v>kavitamonga@gmail.com</v>
      </c>
      <c r="G499" s="1">
        <f ca="1">IFERROR(__xludf.DUMMYFUNCTION("""COMPUTED_VALUE"""),9815541164)</f>
        <v>9815541164</v>
      </c>
    </row>
    <row r="500" spans="1:7" x14ac:dyDescent="0.3">
      <c r="A500" s="1" t="str">
        <f ca="1">IFERROR(__xludf.DUMMYFUNCTION("""COMPUTED_VALUE"""),"Governement Polytechnic College, Khunimajra")</f>
        <v>Governement Polytechnic College, Khunimajra</v>
      </c>
      <c r="B500" s="1" t="str">
        <f ca="1">IFERROR(__xludf.DUMMYFUNCTION("""COMPUTED_VALUE"""),"SAS Nagar")</f>
        <v>SAS Nagar</v>
      </c>
      <c r="C500" s="1" t="str">
        <f ca="1">IFERROR(__xludf.DUMMYFUNCTION("""COMPUTED_VALUE"""),"Mechanical Engineering")</f>
        <v>Mechanical Engineering</v>
      </c>
      <c r="D500" s="1" t="str">
        <f ca="1">IFERROR(__xludf.DUMMYFUNCTION("""COMPUTED_VALUE"""),"Parminder Singh Saini")</f>
        <v>Parminder Singh Saini</v>
      </c>
      <c r="E500" s="1" t="str">
        <f ca="1">IFERROR(__xludf.DUMMYFUNCTION("""COMPUTED_VALUE"""),"Sr. Lecturer")</f>
        <v>Sr. Lecturer</v>
      </c>
      <c r="F500" s="1" t="str">
        <f ca="1">IFERROR(__xludf.DUMMYFUNCTION("""COMPUTED_VALUE"""),"pspabla73@gmail.com")</f>
        <v>pspabla73@gmail.com</v>
      </c>
      <c r="G500" s="1">
        <f ca="1">IFERROR(__xludf.DUMMYFUNCTION("""COMPUTED_VALUE"""),9815211227)</f>
        <v>9815211227</v>
      </c>
    </row>
    <row r="501" spans="1:7" x14ac:dyDescent="0.3">
      <c r="A501" s="1" t="str">
        <f ca="1">IFERROR(__xludf.DUMMYFUNCTION("""COMPUTED_VALUE"""),"Governement Polytechnic College, Khunimajra")</f>
        <v>Governement Polytechnic College, Khunimajra</v>
      </c>
      <c r="B501" s="1" t="str">
        <f ca="1">IFERROR(__xludf.DUMMYFUNCTION("""COMPUTED_VALUE"""),"SAS Nagar")</f>
        <v>SAS Nagar</v>
      </c>
      <c r="C501" s="1" t="str">
        <f ca="1">IFERROR(__xludf.DUMMYFUNCTION("""COMPUTED_VALUE"""),"Modern Office Practice")</f>
        <v>Modern Office Practice</v>
      </c>
      <c r="D501" s="1" t="str">
        <f ca="1">IFERROR(__xludf.DUMMYFUNCTION("""COMPUTED_VALUE"""),"Parveen Kaur")</f>
        <v>Parveen Kaur</v>
      </c>
      <c r="E501" s="1" t="str">
        <f ca="1">IFERROR(__xludf.DUMMYFUNCTION("""COMPUTED_VALUE"""),"Now principal")</f>
        <v>Now principal</v>
      </c>
      <c r="F501" s="1" t="str">
        <f ca="1">IFERROR(__xludf.DUMMYFUNCTION("""COMPUTED_VALUE"""),"parveen1973kaur@gmail.com")</f>
        <v>parveen1973kaur@gmail.com</v>
      </c>
      <c r="G501" s="1">
        <f ca="1">IFERROR(__xludf.DUMMYFUNCTION("""COMPUTED_VALUE"""),8289007235)</f>
        <v>8289007235</v>
      </c>
    </row>
    <row r="502" spans="1:7" x14ac:dyDescent="0.3">
      <c r="A502" s="1" t="str">
        <f ca="1">IFERROR(__xludf.DUMMYFUNCTION("""COMPUTED_VALUE"""),"Governement Polytechnic College, Khunimajra")</f>
        <v>Governement Polytechnic College, Khunimajra</v>
      </c>
      <c r="B502" s="1" t="str">
        <f ca="1">IFERROR(__xludf.DUMMYFUNCTION("""COMPUTED_VALUE"""),"SAS Nagar")</f>
        <v>SAS Nagar</v>
      </c>
      <c r="C502" s="1" t="str">
        <f ca="1">IFERROR(__xludf.DUMMYFUNCTION("""COMPUTED_VALUE"""),"Civil Engineering")</f>
        <v>Civil Engineering</v>
      </c>
      <c r="D502" s="1" t="str">
        <f ca="1">IFERROR(__xludf.DUMMYFUNCTION("""COMPUTED_VALUE"""),"Paviter Singh")</f>
        <v>Paviter Singh</v>
      </c>
      <c r="E502" s="1" t="str">
        <f ca="1">IFERROR(__xludf.DUMMYFUNCTION("""COMPUTED_VALUE"""),"Lecturer")</f>
        <v>Lecturer</v>
      </c>
      <c r="F502" s="1" t="str">
        <f ca="1">IFERROR(__xludf.DUMMYFUNCTION("""COMPUTED_VALUE"""),"pavitersingh22@gmail.com")</f>
        <v>pavitersingh22@gmail.com</v>
      </c>
      <c r="G502" s="1">
        <f ca="1">IFERROR(__xludf.DUMMYFUNCTION("""COMPUTED_VALUE"""),9465447037)</f>
        <v>9465447037</v>
      </c>
    </row>
    <row r="503" spans="1:7" x14ac:dyDescent="0.3">
      <c r="A503" s="1" t="str">
        <f ca="1">IFERROR(__xludf.DUMMYFUNCTION("""COMPUTED_VALUE"""),"Governement Polytechnic College, Khunimajra")</f>
        <v>Governement Polytechnic College, Khunimajra</v>
      </c>
      <c r="B503" s="1" t="str">
        <f ca="1">IFERROR(__xludf.DUMMYFUNCTION("""COMPUTED_VALUE"""),"SAS Nagar")</f>
        <v>SAS Nagar</v>
      </c>
      <c r="C503" s="1" t="str">
        <f ca="1">IFERROR(__xludf.DUMMYFUNCTION("""COMPUTED_VALUE"""),"Medical Lab Technology")</f>
        <v>Medical Lab Technology</v>
      </c>
      <c r="D503" s="1" t="str">
        <f ca="1">IFERROR(__xludf.DUMMYFUNCTION("""COMPUTED_VALUE"""),"Poonam Saini")</f>
        <v>Poonam Saini</v>
      </c>
      <c r="E503" s="1" t="str">
        <f ca="1">IFERROR(__xludf.DUMMYFUNCTION("""COMPUTED_VALUE"""),"Sr. Lecturer")</f>
        <v>Sr. Lecturer</v>
      </c>
      <c r="F503" s="1" t="str">
        <f ca="1">IFERROR(__xludf.DUMMYFUNCTION("""COMPUTED_VALUE"""),"poonamsaini2515@gmail.com")</f>
        <v>poonamsaini2515@gmail.com</v>
      </c>
      <c r="G503" s="1">
        <f ca="1">IFERROR(__xludf.DUMMYFUNCTION("""COMPUTED_VALUE"""),9914040573)</f>
        <v>9914040573</v>
      </c>
    </row>
    <row r="504" spans="1:7" x14ac:dyDescent="0.3">
      <c r="A504" s="1" t="str">
        <f ca="1">IFERROR(__xludf.DUMMYFUNCTION("""COMPUTED_VALUE"""),"Governement Polytechnic College, Khunimajra")</f>
        <v>Governement Polytechnic College, Khunimajra</v>
      </c>
      <c r="B504" s="1" t="str">
        <f ca="1">IFERROR(__xludf.DUMMYFUNCTION("""COMPUTED_VALUE"""),"SAS Nagar")</f>
        <v>SAS Nagar</v>
      </c>
      <c r="C504" s="1" t="str">
        <f ca="1">IFERROR(__xludf.DUMMYFUNCTION("""COMPUTED_VALUE"""),"Mechanical Engineering")</f>
        <v>Mechanical Engineering</v>
      </c>
      <c r="D504" s="1" t="str">
        <f ca="1">IFERROR(__xludf.DUMMYFUNCTION("""COMPUTED_VALUE"""),"Prabhdeep Singh")</f>
        <v>Prabhdeep Singh</v>
      </c>
      <c r="E504" s="1" t="str">
        <f ca="1">IFERROR(__xludf.DUMMYFUNCTION("""COMPUTED_VALUE"""),"Sr. Lecturer")</f>
        <v>Sr. Lecturer</v>
      </c>
      <c r="F504" s="1" t="str">
        <f ca="1">IFERROR(__xludf.DUMMYFUNCTION("""COMPUTED_VALUE"""),"prabhdeepmander47@gmail.com")</f>
        <v>prabhdeepmander47@gmail.com</v>
      </c>
      <c r="G504" s="1">
        <f ca="1">IFERROR(__xludf.DUMMYFUNCTION("""COMPUTED_VALUE"""),9646072053)</f>
        <v>9646072053</v>
      </c>
    </row>
    <row r="505" spans="1:7" x14ac:dyDescent="0.3">
      <c r="A505" s="1" t="str">
        <f ca="1">IFERROR(__xludf.DUMMYFUNCTION("""COMPUTED_VALUE"""),"Governement Polytechnic College, Khunimajra")</f>
        <v>Governement Polytechnic College, Khunimajra</v>
      </c>
      <c r="B505" s="1" t="str">
        <f ca="1">IFERROR(__xludf.DUMMYFUNCTION("""COMPUTED_VALUE"""),"SAS Nagar")</f>
        <v>SAS Nagar</v>
      </c>
      <c r="C505" s="1" t="str">
        <f ca="1">IFERROR(__xludf.DUMMYFUNCTION("""COMPUTED_VALUE"""),"Civil Engineering")</f>
        <v>Civil Engineering</v>
      </c>
      <c r="D505" s="1" t="str">
        <f ca="1">IFERROR(__xludf.DUMMYFUNCTION("""COMPUTED_VALUE"""),"Preet Palia")</f>
        <v>Preet Palia</v>
      </c>
      <c r="E505" s="1" t="str">
        <f ca="1">IFERROR(__xludf.DUMMYFUNCTION("""COMPUTED_VALUE"""),"Lecturer")</f>
        <v>Lecturer</v>
      </c>
      <c r="F505" s="1" t="str">
        <f ca="1">IFERROR(__xludf.DUMMYFUNCTION("""COMPUTED_VALUE"""),"preetpalia03@gmail.com")</f>
        <v>preetpalia03@gmail.com</v>
      </c>
      <c r="G505" s="1">
        <f ca="1">IFERROR(__xludf.DUMMYFUNCTION("""COMPUTED_VALUE"""),9878909260)</f>
        <v>9878909260</v>
      </c>
    </row>
    <row r="506" spans="1:7" x14ac:dyDescent="0.3">
      <c r="A506" s="1" t="str">
        <f ca="1">IFERROR(__xludf.DUMMYFUNCTION("""COMPUTED_VALUE"""),"Governement Polytechnic College, Khunimajra")</f>
        <v>Governement Polytechnic College, Khunimajra</v>
      </c>
      <c r="B506" s="1" t="str">
        <f ca="1">IFERROR(__xludf.DUMMYFUNCTION("""COMPUTED_VALUE"""),"SAS Nagar")</f>
        <v>SAS Nagar</v>
      </c>
      <c r="C506" s="1" t="str">
        <f ca="1">IFERROR(__xludf.DUMMYFUNCTION("""COMPUTED_VALUE"""),"Civil Engineering")</f>
        <v>Civil Engineering</v>
      </c>
      <c r="D506" s="1" t="str">
        <f ca="1">IFERROR(__xludf.DUMMYFUNCTION("""COMPUTED_VALUE"""),"Punit Gupta")</f>
        <v>Punit Gupta</v>
      </c>
      <c r="E506" s="1" t="str">
        <f ca="1">IFERROR(__xludf.DUMMYFUNCTION("""COMPUTED_VALUE"""),"Lecturer")</f>
        <v>Lecturer</v>
      </c>
      <c r="F506" s="1" t="str">
        <f ca="1">IFERROR(__xludf.DUMMYFUNCTION("""COMPUTED_VALUE"""),"punitgupta147@gmail.com")</f>
        <v>punitgupta147@gmail.com</v>
      </c>
      <c r="G506" s="1">
        <f ca="1">IFERROR(__xludf.DUMMYFUNCTION("""COMPUTED_VALUE"""),9803267848)</f>
        <v>9803267848</v>
      </c>
    </row>
    <row r="507" spans="1:7" x14ac:dyDescent="0.3">
      <c r="A507" s="1" t="str">
        <f ca="1">IFERROR(__xludf.DUMMYFUNCTION("""COMPUTED_VALUE"""),"Governement Polytechnic College, Khunimajra")</f>
        <v>Governement Polytechnic College, Khunimajra</v>
      </c>
      <c r="B507" s="1" t="str">
        <f ca="1">IFERROR(__xludf.DUMMYFUNCTION("""COMPUTED_VALUE"""),"SAS Nagar")</f>
        <v>SAS Nagar</v>
      </c>
      <c r="C507" s="1" t="str">
        <f ca="1">IFERROR(__xludf.DUMMYFUNCTION("""COMPUTED_VALUE"""),"Modern Office Practice")</f>
        <v>Modern Office Practice</v>
      </c>
      <c r="D507" s="1" t="str">
        <f ca="1">IFERROR(__xludf.DUMMYFUNCTION("""COMPUTED_VALUE"""),"Purnima")</f>
        <v>Purnima</v>
      </c>
      <c r="E507" s="1" t="str">
        <f ca="1">IFERROR(__xludf.DUMMYFUNCTION("""COMPUTED_VALUE"""),"Lecturer")</f>
        <v>Lecturer</v>
      </c>
      <c r="F507" s="1" t="str">
        <f ca="1">IFERROR(__xludf.DUMMYFUNCTION("""COMPUTED_VALUE"""),"purnima73thareja@gmail.com")</f>
        <v>purnima73thareja@gmail.com</v>
      </c>
      <c r="G507" s="1">
        <f ca="1">IFERROR(__xludf.DUMMYFUNCTION("""COMPUTED_VALUE"""),9417214420)</f>
        <v>9417214420</v>
      </c>
    </row>
    <row r="508" spans="1:7" x14ac:dyDescent="0.3">
      <c r="A508" s="1" t="str">
        <f ca="1">IFERROR(__xludf.DUMMYFUNCTION("""COMPUTED_VALUE"""),"Governement Polytechnic College, Khunimajra")</f>
        <v>Governement Polytechnic College, Khunimajra</v>
      </c>
      <c r="B508" s="1" t="str">
        <f ca="1">IFERROR(__xludf.DUMMYFUNCTION("""COMPUTED_VALUE"""),"SAS Nagar")</f>
        <v>SAS Nagar</v>
      </c>
      <c r="C508" s="1" t="str">
        <f ca="1">IFERROR(__xludf.DUMMYFUNCTION("""COMPUTED_VALUE"""),"Principal")</f>
        <v>Principal</v>
      </c>
      <c r="D508" s="1" t="str">
        <f ca="1">IFERROR(__xludf.DUMMYFUNCTION("""COMPUTED_VALUE"""),"Raksha Kiran")</f>
        <v>Raksha Kiran</v>
      </c>
      <c r="E508" s="1" t="str">
        <f ca="1">IFERROR(__xludf.DUMMYFUNCTION("""COMPUTED_VALUE"""),"Principal")</f>
        <v>Principal</v>
      </c>
      <c r="F508" s="1" t="str">
        <f ca="1">IFERROR(__xludf.DUMMYFUNCTION("""COMPUTED_VALUE"""),"rakshakiran75@gmail.com")</f>
        <v>rakshakiran75@gmail.com</v>
      </c>
      <c r="G508" s="1">
        <f ca="1">IFERROR(__xludf.DUMMYFUNCTION("""COMPUTED_VALUE"""),9417232212)</f>
        <v>9417232212</v>
      </c>
    </row>
    <row r="509" spans="1:7" x14ac:dyDescent="0.3">
      <c r="A509" s="1" t="str">
        <f ca="1">IFERROR(__xludf.DUMMYFUNCTION("""COMPUTED_VALUE"""),"Governement Polytechnic College, Khunimajra")</f>
        <v>Governement Polytechnic College, Khunimajra</v>
      </c>
      <c r="B509" s="1" t="str">
        <f ca="1">IFERROR(__xludf.DUMMYFUNCTION("""COMPUTED_VALUE"""),"SAS Nagar")</f>
        <v>SAS Nagar</v>
      </c>
      <c r="C509" s="1" t="str">
        <f ca="1">IFERROR(__xludf.DUMMYFUNCTION("""COMPUTED_VALUE"""),"Civil Engineering")</f>
        <v>Civil Engineering</v>
      </c>
      <c r="D509" s="1" t="str">
        <f ca="1">IFERROR(__xludf.DUMMYFUNCTION("""COMPUTED_VALUE"""),"Raman Kumar")</f>
        <v>Raman Kumar</v>
      </c>
      <c r="E509" s="1" t="str">
        <f ca="1">IFERROR(__xludf.DUMMYFUNCTION("""COMPUTED_VALUE"""),"Lecturer")</f>
        <v>Lecturer</v>
      </c>
      <c r="F509" s="1" t="str">
        <f ca="1">IFERROR(__xludf.DUMMYFUNCTION("""COMPUTED_VALUE"""),"fazilkaramankamboj@gmail.com")</f>
        <v>fazilkaramankamboj@gmail.com</v>
      </c>
      <c r="G509" s="1">
        <f ca="1">IFERROR(__xludf.DUMMYFUNCTION("""COMPUTED_VALUE"""),7837531786)</f>
        <v>7837531786</v>
      </c>
    </row>
    <row r="510" spans="1:7" x14ac:dyDescent="0.3">
      <c r="A510" s="1" t="str">
        <f ca="1">IFERROR(__xludf.DUMMYFUNCTION("""COMPUTED_VALUE"""),"Governement Polytechnic College, Khunimajra")</f>
        <v>Governement Polytechnic College, Khunimajra</v>
      </c>
      <c r="B510" s="1" t="str">
        <f ca="1">IFERROR(__xludf.DUMMYFUNCTION("""COMPUTED_VALUE"""),"SAS Nagar")</f>
        <v>SAS Nagar</v>
      </c>
      <c r="C510" s="1" t="str">
        <f ca="1">IFERROR(__xludf.DUMMYFUNCTION("""COMPUTED_VALUE"""),"Medical Lab Technology")</f>
        <v>Medical Lab Technology</v>
      </c>
      <c r="D510" s="1" t="str">
        <f ca="1">IFERROR(__xludf.DUMMYFUNCTION("""COMPUTED_VALUE"""),"Ravinder Kumar")</f>
        <v>Ravinder Kumar</v>
      </c>
      <c r="E510" s="1" t="str">
        <f ca="1">IFERROR(__xludf.DUMMYFUNCTION("""COMPUTED_VALUE"""),"Lecturer")</f>
        <v>Lecturer</v>
      </c>
      <c r="F510" s="1" t="str">
        <f ca="1">IFERROR(__xludf.DUMMYFUNCTION("""COMPUTED_VALUE"""),"dr.ravijas@gmail.com")</f>
        <v>dr.ravijas@gmail.com</v>
      </c>
      <c r="G510" s="1">
        <f ca="1">IFERROR(__xludf.DUMMYFUNCTION("""COMPUTED_VALUE"""),9878941620)</f>
        <v>9878941620</v>
      </c>
    </row>
    <row r="511" spans="1:7" x14ac:dyDescent="0.3">
      <c r="A511" s="1" t="str">
        <f ca="1">IFERROR(__xludf.DUMMYFUNCTION("""COMPUTED_VALUE"""),"Governement Polytechnic College, Khunimajra")</f>
        <v>Governement Polytechnic College, Khunimajra</v>
      </c>
      <c r="B511" s="1" t="str">
        <f ca="1">IFERROR(__xludf.DUMMYFUNCTION("""COMPUTED_VALUE"""),"SAS Nagar")</f>
        <v>SAS Nagar</v>
      </c>
      <c r="C511" s="1" t="str">
        <f ca="1">IFERROR(__xludf.DUMMYFUNCTION("""COMPUTED_VALUE"""),"Computer Science and Engineering")</f>
        <v>Computer Science and Engineering</v>
      </c>
      <c r="D511" s="1" t="str">
        <f ca="1">IFERROR(__xludf.DUMMYFUNCTION("""COMPUTED_VALUE"""),"Ravinder Singh walia")</f>
        <v>Ravinder Singh walia</v>
      </c>
      <c r="E511" s="1" t="str">
        <f ca="1">IFERROR(__xludf.DUMMYFUNCTION("""COMPUTED_VALUE"""),"HOD")</f>
        <v>HOD</v>
      </c>
      <c r="F511" s="1" t="str">
        <f ca="1">IFERROR(__xludf.DUMMYFUNCTION("""COMPUTED_VALUE"""),"walia671@gmail.com")</f>
        <v>walia671@gmail.com</v>
      </c>
      <c r="G511" s="1">
        <f ca="1">IFERROR(__xludf.DUMMYFUNCTION("""COMPUTED_VALUE"""),9501800288)</f>
        <v>9501800288</v>
      </c>
    </row>
    <row r="512" spans="1:7" x14ac:dyDescent="0.3">
      <c r="A512" s="1" t="str">
        <f ca="1">IFERROR(__xludf.DUMMYFUNCTION("""COMPUTED_VALUE"""),"Governement Polytechnic College, Khunimajra")</f>
        <v>Governement Polytechnic College, Khunimajra</v>
      </c>
      <c r="B512" s="1" t="str">
        <f ca="1">IFERROR(__xludf.DUMMYFUNCTION("""COMPUTED_VALUE"""),"SAS Nagar")</f>
        <v>SAS Nagar</v>
      </c>
      <c r="C512" s="1" t="str">
        <f ca="1">IFERROR(__xludf.DUMMYFUNCTION("""COMPUTED_VALUE"""),"Information Technology")</f>
        <v>Information Technology</v>
      </c>
      <c r="D512" s="1" t="str">
        <f ca="1">IFERROR(__xludf.DUMMYFUNCTION("""COMPUTED_VALUE"""),"Rimple Bala")</f>
        <v>Rimple Bala</v>
      </c>
      <c r="E512" s="1" t="str">
        <f ca="1">IFERROR(__xludf.DUMMYFUNCTION("""COMPUTED_VALUE"""),"Sr. Lecturer")</f>
        <v>Sr. Lecturer</v>
      </c>
      <c r="F512" s="1" t="str">
        <f ca="1">IFERROR(__xludf.DUMMYFUNCTION("""COMPUTED_VALUE"""),"rbasr86@gmail.com")</f>
        <v>rbasr86@gmail.com</v>
      </c>
      <c r="G512" s="1">
        <f ca="1">IFERROR(__xludf.DUMMYFUNCTION("""COMPUTED_VALUE"""),8968741500)</f>
        <v>8968741500</v>
      </c>
    </row>
    <row r="513" spans="1:7" x14ac:dyDescent="0.3">
      <c r="A513" s="1" t="str">
        <f ca="1">IFERROR(__xludf.DUMMYFUNCTION("""COMPUTED_VALUE"""),"Governement Polytechnic College, Khunimajra")</f>
        <v>Governement Polytechnic College, Khunimajra</v>
      </c>
      <c r="B513" s="1" t="str">
        <f ca="1">IFERROR(__xludf.DUMMYFUNCTION("""COMPUTED_VALUE"""),"SAS Nagar")</f>
        <v>SAS Nagar</v>
      </c>
      <c r="C513" s="1" t="str">
        <f ca="1">IFERROR(__xludf.DUMMYFUNCTION("""COMPUTED_VALUE"""),"Computer Science and Engineering")</f>
        <v>Computer Science and Engineering</v>
      </c>
      <c r="D513" s="1" t="str">
        <f ca="1">IFERROR(__xludf.DUMMYFUNCTION("""COMPUTED_VALUE"""),"Rubina")</f>
        <v>Rubina</v>
      </c>
      <c r="E513" s="1" t="str">
        <f ca="1">IFERROR(__xludf.DUMMYFUNCTION("""COMPUTED_VALUE"""),"Lecturer")</f>
        <v>Lecturer</v>
      </c>
      <c r="F513" s="1" t="str">
        <f ca="1">IFERROR(__xludf.DUMMYFUNCTION("""COMPUTED_VALUE"""),"rubina.madaan@gmail.com")</f>
        <v>rubina.madaan@gmail.com</v>
      </c>
      <c r="G513" s="1">
        <f ca="1">IFERROR(__xludf.DUMMYFUNCTION("""COMPUTED_VALUE"""),7551100004)</f>
        <v>7551100004</v>
      </c>
    </row>
    <row r="514" spans="1:7" x14ac:dyDescent="0.3">
      <c r="A514" s="1" t="str">
        <f ca="1">IFERROR(__xludf.DUMMYFUNCTION("""COMPUTED_VALUE"""),"Governement Polytechnic College, Khunimajra")</f>
        <v>Governement Polytechnic College, Khunimajra</v>
      </c>
      <c r="B514" s="1" t="str">
        <f ca="1">IFERROR(__xludf.DUMMYFUNCTION("""COMPUTED_VALUE"""),"SAS Nagar")</f>
        <v>SAS Nagar</v>
      </c>
      <c r="C514" s="1" t="str">
        <f ca="1">IFERROR(__xludf.DUMMYFUNCTION("""COMPUTED_VALUE"""),"Mechanical Engineering")</f>
        <v>Mechanical Engineering</v>
      </c>
      <c r="D514" s="1" t="str">
        <f ca="1">IFERROR(__xludf.DUMMYFUNCTION("""COMPUTED_VALUE"""),"Sahil Bansal")</f>
        <v>Sahil Bansal</v>
      </c>
      <c r="E514" s="1" t="str">
        <f ca="1">IFERROR(__xludf.DUMMYFUNCTION("""COMPUTED_VALUE"""),"Lecturer")</f>
        <v>Lecturer</v>
      </c>
      <c r="F514" s="1" t="str">
        <f ca="1">IFERROR(__xludf.DUMMYFUNCTION("""COMPUTED_VALUE"""),"sahilbansal103@gmail.com")</f>
        <v>sahilbansal103@gmail.com</v>
      </c>
      <c r="G514" s="1">
        <f ca="1">IFERROR(__xludf.DUMMYFUNCTION("""COMPUTED_VALUE"""),7696459069)</f>
        <v>7696459069</v>
      </c>
    </row>
    <row r="515" spans="1:7" x14ac:dyDescent="0.3">
      <c r="A515" s="1" t="str">
        <f ca="1">IFERROR(__xludf.DUMMYFUNCTION("""COMPUTED_VALUE"""),"Governement Polytechnic College, Khunimajra")</f>
        <v>Governement Polytechnic College, Khunimajra</v>
      </c>
      <c r="B515" s="1" t="str">
        <f ca="1">IFERROR(__xludf.DUMMYFUNCTION("""COMPUTED_VALUE"""),"SAS Nagar")</f>
        <v>SAS Nagar</v>
      </c>
      <c r="C515" s="1" t="str">
        <f ca="1">IFERROR(__xludf.DUMMYFUNCTION("""COMPUTED_VALUE"""),"Mechanical Engineering")</f>
        <v>Mechanical Engineering</v>
      </c>
      <c r="D515" s="1" t="str">
        <f ca="1">IFERROR(__xludf.DUMMYFUNCTION("""COMPUTED_VALUE"""),"Sanjiv Jindal")</f>
        <v>Sanjiv Jindal</v>
      </c>
      <c r="E515" s="1" t="str">
        <f ca="1">IFERROR(__xludf.DUMMYFUNCTION("""COMPUTED_VALUE"""),"HOD")</f>
        <v>HOD</v>
      </c>
      <c r="F515" s="1" t="str">
        <f ca="1">IFERROR(__xludf.DUMMYFUNCTION("""COMPUTED_VALUE"""),"mandofal@yahoo.co.in")</f>
        <v>mandofal@yahoo.co.in</v>
      </c>
      <c r="G515" s="1">
        <f ca="1">IFERROR(__xludf.DUMMYFUNCTION("""COMPUTED_VALUE"""),9417402612)</f>
        <v>9417402612</v>
      </c>
    </row>
    <row r="516" spans="1:7" x14ac:dyDescent="0.3">
      <c r="A516" s="1" t="str">
        <f ca="1">IFERROR(__xludf.DUMMYFUNCTION("""COMPUTED_VALUE"""),"Governement Polytechnic College, Khunimajra")</f>
        <v>Governement Polytechnic College, Khunimajra</v>
      </c>
      <c r="B516" s="1" t="str">
        <f ca="1">IFERROR(__xludf.DUMMYFUNCTION("""COMPUTED_VALUE"""),"SAS Nagar")</f>
        <v>SAS Nagar</v>
      </c>
      <c r="C516" s="1" t="str">
        <f ca="1">IFERROR(__xludf.DUMMYFUNCTION("""COMPUTED_VALUE"""),"Applied Science")</f>
        <v>Applied Science</v>
      </c>
      <c r="D516" s="1" t="str">
        <f ca="1">IFERROR(__xludf.DUMMYFUNCTION("""COMPUTED_VALUE"""),"Sarbjit Kaur")</f>
        <v>Sarbjit Kaur</v>
      </c>
      <c r="E516" s="1" t="str">
        <f ca="1">IFERROR(__xludf.DUMMYFUNCTION("""COMPUTED_VALUE"""),"Lecturer")</f>
        <v>Lecturer</v>
      </c>
      <c r="F516" s="1" t="str">
        <f ca="1">IFERROR(__xludf.DUMMYFUNCTION("""COMPUTED_VALUE"""),"gpc.sarabjit@gmail.com")</f>
        <v>gpc.sarabjit@gmail.com</v>
      </c>
      <c r="G516" s="1">
        <f ca="1">IFERROR(__xludf.DUMMYFUNCTION("""COMPUTED_VALUE"""),9888052754)</f>
        <v>9888052754</v>
      </c>
    </row>
    <row r="517" spans="1:7" x14ac:dyDescent="0.3">
      <c r="A517" s="1" t="str">
        <f ca="1">IFERROR(__xludf.DUMMYFUNCTION("""COMPUTED_VALUE"""),"Governement Polytechnic College, Khunimajra")</f>
        <v>Governement Polytechnic College, Khunimajra</v>
      </c>
      <c r="B517" s="1" t="str">
        <f ca="1">IFERROR(__xludf.DUMMYFUNCTION("""COMPUTED_VALUE"""),"SAS Nagar")</f>
        <v>SAS Nagar</v>
      </c>
      <c r="C517" s="1" t="str">
        <f ca="1">IFERROR(__xludf.DUMMYFUNCTION("""COMPUTED_VALUE"""),"Applied Science")</f>
        <v>Applied Science</v>
      </c>
      <c r="D517" s="1" t="str">
        <f ca="1">IFERROR(__xludf.DUMMYFUNCTION("""COMPUTED_VALUE"""),"Shelly Singla")</f>
        <v>Shelly Singla</v>
      </c>
      <c r="E517" s="1" t="str">
        <f ca="1">IFERROR(__xludf.DUMMYFUNCTION("""COMPUTED_VALUE"""),"Lecturer")</f>
        <v>Lecturer</v>
      </c>
      <c r="F517" s="1" t="str">
        <f ca="1">IFERROR(__xludf.DUMMYFUNCTION("""COMPUTED_VALUE"""),"shellysingla2016@gmail.com")</f>
        <v>shellysingla2016@gmail.com</v>
      </c>
      <c r="G517" s="1">
        <f ca="1">IFERROR(__xludf.DUMMYFUNCTION("""COMPUTED_VALUE"""),8837556194)</f>
        <v>8837556194</v>
      </c>
    </row>
    <row r="518" spans="1:7" x14ac:dyDescent="0.3">
      <c r="A518" s="1" t="str">
        <f ca="1">IFERROR(__xludf.DUMMYFUNCTION("""COMPUTED_VALUE"""),"Governement Polytechnic College, Khunimajra")</f>
        <v>Governement Polytechnic College, Khunimajra</v>
      </c>
      <c r="B518" s="1" t="str">
        <f ca="1">IFERROR(__xludf.DUMMYFUNCTION("""COMPUTED_VALUE"""),"SAS Nagar")</f>
        <v>SAS Nagar</v>
      </c>
      <c r="C518" s="1" t="str">
        <f ca="1">IFERROR(__xludf.DUMMYFUNCTION("""COMPUTED_VALUE"""),"Electronics and Communications Engineering")</f>
        <v>Electronics and Communications Engineering</v>
      </c>
      <c r="D518" s="1" t="str">
        <f ca="1">IFERROR(__xludf.DUMMYFUNCTION("""COMPUTED_VALUE"""),"Shivani Sharma")</f>
        <v>Shivani Sharma</v>
      </c>
      <c r="E518" s="1" t="str">
        <f ca="1">IFERROR(__xludf.DUMMYFUNCTION("""COMPUTED_VALUE"""),"Sr. Lecturer")</f>
        <v>Sr. Lecturer</v>
      </c>
      <c r="F518" s="1" t="str">
        <f ca="1">IFERROR(__xludf.DUMMYFUNCTION("""COMPUTED_VALUE"""),"shivanisharma3098@gmail.com")</f>
        <v>shivanisharma3098@gmail.com</v>
      </c>
      <c r="G518" s="1">
        <f ca="1">IFERROR(__xludf.DUMMYFUNCTION("""COMPUTED_VALUE"""),9023497274)</f>
        <v>9023497274</v>
      </c>
    </row>
    <row r="519" spans="1:7" x14ac:dyDescent="0.3">
      <c r="A519" s="1" t="str">
        <f ca="1">IFERROR(__xludf.DUMMYFUNCTION("""COMPUTED_VALUE"""),"Governement Polytechnic College, Khunimajra")</f>
        <v>Governement Polytechnic College, Khunimajra</v>
      </c>
      <c r="B519" s="1" t="str">
        <f ca="1">IFERROR(__xludf.DUMMYFUNCTION("""COMPUTED_VALUE"""),"SAS Nagar")</f>
        <v>SAS Nagar</v>
      </c>
      <c r="C519" s="1" t="str">
        <f ca="1">IFERROR(__xludf.DUMMYFUNCTION("""COMPUTED_VALUE"""),"Mechanical Engineering")</f>
        <v>Mechanical Engineering</v>
      </c>
      <c r="D519" s="1" t="str">
        <f ca="1">IFERROR(__xludf.DUMMYFUNCTION("""COMPUTED_VALUE"""),"Sony Salot")</f>
        <v>Sony Salot</v>
      </c>
      <c r="E519" s="1" t="str">
        <f ca="1">IFERROR(__xludf.DUMMYFUNCTION("""COMPUTED_VALUE"""),"Lecturer")</f>
        <v>Lecturer</v>
      </c>
      <c r="F519" s="1" t="str">
        <f ca="1">IFERROR(__xludf.DUMMYFUNCTION("""COMPUTED_VALUE"""),"sonygpc07@gmail.com")</f>
        <v>sonygpc07@gmail.com</v>
      </c>
      <c r="G519" s="1">
        <f ca="1">IFERROR(__xludf.DUMMYFUNCTION("""COMPUTED_VALUE"""),7625830858)</f>
        <v>7625830858</v>
      </c>
    </row>
    <row r="520" spans="1:7" x14ac:dyDescent="0.3">
      <c r="A520" s="1" t="str">
        <f ca="1">IFERROR(__xludf.DUMMYFUNCTION("""COMPUTED_VALUE"""),"Governement Polytechnic College, Khunimajra")</f>
        <v>Governement Polytechnic College, Khunimajra</v>
      </c>
      <c r="B520" s="1" t="str">
        <f ca="1">IFERROR(__xludf.DUMMYFUNCTION("""COMPUTED_VALUE"""),"SAS Nagar")</f>
        <v>SAS Nagar</v>
      </c>
      <c r="C520" s="1" t="str">
        <f ca="1">IFERROR(__xludf.DUMMYFUNCTION("""COMPUTED_VALUE"""),"Applied Science")</f>
        <v>Applied Science</v>
      </c>
      <c r="D520" s="1" t="str">
        <f ca="1">IFERROR(__xludf.DUMMYFUNCTION("""COMPUTED_VALUE"""),"Suman Sharma")</f>
        <v>Suman Sharma</v>
      </c>
      <c r="E520" s="1" t="str">
        <f ca="1">IFERROR(__xludf.DUMMYFUNCTION("""COMPUTED_VALUE"""),"Sr. Lecturer")</f>
        <v>Sr. Lecturer</v>
      </c>
      <c r="F520" s="1" t="str">
        <f ca="1">IFERROR(__xludf.DUMMYFUNCTION("""COMPUTED_VALUE"""),"attarisuman@gmail.com")</f>
        <v>attarisuman@gmail.com</v>
      </c>
      <c r="G520" s="1">
        <f ca="1">IFERROR(__xludf.DUMMYFUNCTION("""COMPUTED_VALUE"""),9872035456)</f>
        <v>9872035456</v>
      </c>
    </row>
    <row r="521" spans="1:7" x14ac:dyDescent="0.3">
      <c r="A521" s="1" t="str">
        <f ca="1">IFERROR(__xludf.DUMMYFUNCTION("""COMPUTED_VALUE"""),"Governement Polytechnic College, Khunimajra")</f>
        <v>Governement Polytechnic College, Khunimajra</v>
      </c>
      <c r="B521" s="1" t="str">
        <f ca="1">IFERROR(__xludf.DUMMYFUNCTION("""COMPUTED_VALUE"""),"SAS Nagar")</f>
        <v>SAS Nagar</v>
      </c>
      <c r="C521" s="1" t="str">
        <f ca="1">IFERROR(__xludf.DUMMYFUNCTION("""COMPUTED_VALUE"""),"Workshop")</f>
        <v>Workshop</v>
      </c>
      <c r="D521" s="1" t="str">
        <f ca="1">IFERROR(__xludf.DUMMYFUNCTION("""COMPUTED_VALUE"""),"Davinder Singh")</f>
        <v>Davinder Singh</v>
      </c>
      <c r="E521" s="1" t="str">
        <f ca="1">IFERROR(__xludf.DUMMYFUNCTION("""COMPUTED_VALUE"""),"Instructor")</f>
        <v>Instructor</v>
      </c>
      <c r="F521" s="1" t="str">
        <f ca="1">IFERROR(__xludf.DUMMYFUNCTION("""COMPUTED_VALUE"""),"davindersingh3842@gmail.com")</f>
        <v>davindersingh3842@gmail.com</v>
      </c>
      <c r="G521" s="1">
        <f ca="1">IFERROR(__xludf.DUMMYFUNCTION("""COMPUTED_VALUE"""),9872873426)</f>
        <v>9872873426</v>
      </c>
    </row>
    <row r="522" spans="1:7" x14ac:dyDescent="0.3">
      <c r="A522" s="1" t="str">
        <f ca="1">IFERROR(__xludf.DUMMYFUNCTION("""COMPUTED_VALUE"""),"Governement Polytechnic College, Behram")</f>
        <v>Governement Polytechnic College, Behram</v>
      </c>
      <c r="B522" s="1" t="str">
        <f ca="1">IFERROR(__xludf.DUMMYFUNCTION("""COMPUTED_VALUE"""),"SBS Nagar")</f>
        <v>SBS Nagar</v>
      </c>
      <c r="C522" s="1" t="str">
        <f ca="1">IFERROR(__xludf.DUMMYFUNCTION("""COMPUTED_VALUE"""),"Computer Science and Engineering")</f>
        <v>Computer Science and Engineering</v>
      </c>
      <c r="D522" s="1" t="str">
        <f ca="1">IFERROR(__xludf.DUMMYFUNCTION("""COMPUTED_VALUE"""),"Harmanpreet")</f>
        <v>Harmanpreet</v>
      </c>
      <c r="E522" s="1" t="str">
        <f ca="1">IFERROR(__xludf.DUMMYFUNCTION("""COMPUTED_VALUE"""),"Lecturer")</f>
        <v>Lecturer</v>
      </c>
      <c r="F522" s="1" t="str">
        <f ca="1">IFERROR(__xludf.DUMMYFUNCTION("""COMPUTED_VALUE"""),"romiepreet@gmail.com")</f>
        <v>romiepreet@gmail.com</v>
      </c>
      <c r="G522" s="1">
        <f ca="1">IFERROR(__xludf.DUMMYFUNCTION("""COMPUTED_VALUE"""),8427375360)</f>
        <v>8427375360</v>
      </c>
    </row>
    <row r="523" spans="1:7" x14ac:dyDescent="0.3">
      <c r="A523" s="1" t="str">
        <f ca="1">IFERROR(__xludf.DUMMYFUNCTION("""COMPUTED_VALUE"""),"Governement Polytechnic College, Behram")</f>
        <v>Governement Polytechnic College, Behram</v>
      </c>
      <c r="B523" s="1" t="str">
        <f ca="1">IFERROR(__xludf.DUMMYFUNCTION("""COMPUTED_VALUE"""),"SBS Nagar")</f>
        <v>SBS Nagar</v>
      </c>
      <c r="C523" s="1" t="str">
        <f ca="1">IFERROR(__xludf.DUMMYFUNCTION("""COMPUTED_VALUE"""),"Computer Science and Engineering")</f>
        <v>Computer Science and Engineering</v>
      </c>
      <c r="D523" s="1" t="str">
        <f ca="1">IFERROR(__xludf.DUMMYFUNCTION("""COMPUTED_VALUE"""),"Mamta Garg")</f>
        <v>Mamta Garg</v>
      </c>
      <c r="E523" s="1" t="str">
        <f ca="1">IFERROR(__xludf.DUMMYFUNCTION("""COMPUTED_VALUE"""),"HOD")</f>
        <v>HOD</v>
      </c>
      <c r="F523" s="1" t="str">
        <f ca="1">IFERROR(__xludf.DUMMYFUNCTION("""COMPUTED_VALUE"""),"gmamta2050@gmail.com")</f>
        <v>gmamta2050@gmail.com</v>
      </c>
      <c r="G523" s="1">
        <f ca="1">IFERROR(__xludf.DUMMYFUNCTION("""COMPUTED_VALUE"""),9501022557)</f>
        <v>9501022557</v>
      </c>
    </row>
    <row r="524" spans="1:7" x14ac:dyDescent="0.3">
      <c r="A524" s="1" t="str">
        <f ca="1">IFERROR(__xludf.DUMMYFUNCTION("""COMPUTED_VALUE"""),"Governement Polytechnic College, Behram")</f>
        <v>Governement Polytechnic College, Behram</v>
      </c>
      <c r="B524" s="1" t="str">
        <f ca="1">IFERROR(__xludf.DUMMYFUNCTION("""COMPUTED_VALUE"""),"SBS Nagar")</f>
        <v>SBS Nagar</v>
      </c>
      <c r="C524" s="1" t="str">
        <f ca="1">IFERROR(__xludf.DUMMYFUNCTION("""COMPUTED_VALUE"""),"Computer Science and Engineering")</f>
        <v>Computer Science and Engineering</v>
      </c>
      <c r="D524" s="1" t="str">
        <f ca="1">IFERROR(__xludf.DUMMYFUNCTION("""COMPUTED_VALUE"""),"Rajiv Kumar")</f>
        <v>Rajiv Kumar</v>
      </c>
      <c r="E524" s="1" t="str">
        <f ca="1">IFERROR(__xludf.DUMMYFUNCTION("""COMPUTED_VALUE"""),"System Manager")</f>
        <v>System Manager</v>
      </c>
      <c r="F524" s="1" t="str">
        <f ca="1">IFERROR(__xludf.DUMMYFUNCTION("""COMPUTED_VALUE"""),"rajivksaini@gmail.com")</f>
        <v>rajivksaini@gmail.com</v>
      </c>
      <c r="G524" s="1">
        <f ca="1">IFERROR(__xludf.DUMMYFUNCTION("""COMPUTED_VALUE"""),9872080811)</f>
        <v>9872080811</v>
      </c>
    </row>
    <row r="525" spans="1:7" x14ac:dyDescent="0.3">
      <c r="A525" s="1" t="str">
        <f ca="1">IFERROR(__xludf.DUMMYFUNCTION("""COMPUTED_VALUE"""),"Governement Polytechnic College, Behram")</f>
        <v>Governement Polytechnic College, Behram</v>
      </c>
      <c r="B525" s="1" t="str">
        <f ca="1">IFERROR(__xludf.DUMMYFUNCTION("""COMPUTED_VALUE"""),"SBS Nagar")</f>
        <v>SBS Nagar</v>
      </c>
      <c r="C525" s="1" t="str">
        <f ca="1">IFERROR(__xludf.DUMMYFUNCTION("""COMPUTED_VALUE"""),"Applied Science")</f>
        <v>Applied Science</v>
      </c>
      <c r="D525" s="1" t="str">
        <f ca="1">IFERROR(__xludf.DUMMYFUNCTION("""COMPUTED_VALUE"""),"Ramanpreet Kaur")</f>
        <v>Ramanpreet Kaur</v>
      </c>
      <c r="E525" s="1" t="str">
        <f ca="1">IFERROR(__xludf.DUMMYFUNCTION("""COMPUTED_VALUE"""),"Lecturer")</f>
        <v>Lecturer</v>
      </c>
      <c r="F525" s="1" t="str">
        <f ca="1">IFERROR(__xludf.DUMMYFUNCTION("""COMPUTED_VALUE"""),"ramanpreet2112@gmail.com")</f>
        <v>ramanpreet2112@gmail.com</v>
      </c>
      <c r="G525" s="1">
        <f ca="1">IFERROR(__xludf.DUMMYFUNCTION("""COMPUTED_VALUE"""),6280474741)</f>
        <v>6280474741</v>
      </c>
    </row>
    <row r="526" spans="1:7" x14ac:dyDescent="0.3">
      <c r="A526" s="1" t="str">
        <f ca="1">IFERROR(__xludf.DUMMYFUNCTION("""COMPUTED_VALUE"""),"Governement Polytechnic College, Behram")</f>
        <v>Governement Polytechnic College, Behram</v>
      </c>
      <c r="B526" s="1" t="str">
        <f ca="1">IFERROR(__xludf.DUMMYFUNCTION("""COMPUTED_VALUE"""),"SBS Nagar")</f>
        <v>SBS Nagar</v>
      </c>
      <c r="C526" s="1" t="str">
        <f ca="1">IFERROR(__xludf.DUMMYFUNCTION("""COMPUTED_VALUE"""),"Computer Science and Engineering")</f>
        <v>Computer Science and Engineering</v>
      </c>
      <c r="D526" s="1" t="str">
        <f ca="1">IFERROR(__xludf.DUMMYFUNCTION("""COMPUTED_VALUE"""),"Satnam Singh")</f>
        <v>Satnam Singh</v>
      </c>
      <c r="E526" s="1" t="str">
        <f ca="1">IFERROR(__xludf.DUMMYFUNCTION("""COMPUTED_VALUE"""),"Sr. Lecturer")</f>
        <v>Sr. Lecturer</v>
      </c>
      <c r="F526" s="1" t="str">
        <f ca="1">IFERROR(__xludf.DUMMYFUNCTION("""COMPUTED_VALUE"""),"satnamsinghbasrangph@gmail.com")</f>
        <v>satnamsinghbasrangph@gmail.com</v>
      </c>
      <c r="G526" s="1">
        <f ca="1">IFERROR(__xludf.DUMMYFUNCTION("""COMPUTED_VALUE"""),9878377357)</f>
        <v>9878377357</v>
      </c>
    </row>
    <row r="527" spans="1:7" x14ac:dyDescent="0.3">
      <c r="A527" s="1" t="str">
        <f ca="1">IFERROR(__xludf.DUMMYFUNCTION("""COMPUTED_VALUE"""),"Governement Polytechnic College, Behram")</f>
        <v>Governement Polytechnic College, Behram</v>
      </c>
      <c r="B527" s="1" t="str">
        <f ca="1">IFERROR(__xludf.DUMMYFUNCTION("""COMPUTED_VALUE"""),"SBS Nagar")</f>
        <v>SBS Nagar</v>
      </c>
      <c r="C527" s="1" t="str">
        <f ca="1">IFERROR(__xludf.DUMMYFUNCTION("""COMPUTED_VALUE"""),"Mechanical Engineering")</f>
        <v>Mechanical Engineering</v>
      </c>
      <c r="D527" s="1" t="str">
        <f ca="1">IFERROR(__xludf.DUMMYFUNCTION("""COMPUTED_VALUE"""),"Varun Bhagat")</f>
        <v>Varun Bhagat</v>
      </c>
      <c r="E527" s="1" t="str">
        <f ca="1">IFERROR(__xludf.DUMMYFUNCTION("""COMPUTED_VALUE"""),"Lecturer")</f>
        <v>Lecturer</v>
      </c>
      <c r="F527" s="1" t="str">
        <f ca="1">IFERROR(__xludf.DUMMYFUNCTION("""COMPUTED_VALUE"""),"ervarungpcbehram@gmail.com")</f>
        <v>ervarungpcbehram@gmail.com</v>
      </c>
      <c r="G527" s="1">
        <f ca="1">IFERROR(__xludf.DUMMYFUNCTION("""COMPUTED_VALUE"""),9988257168)</f>
        <v>9988257168</v>
      </c>
    </row>
    <row r="528" spans="1:7" x14ac:dyDescent="0.3">
      <c r="A528" s="1" t="str">
        <f ca="1">IFERROR(__xludf.DUMMYFUNCTION("""COMPUTED_VALUE"""),"Governement Polytechnic College, Fatuhikhera")</f>
        <v>Governement Polytechnic College, Fatuhikhera</v>
      </c>
      <c r="B528" s="1" t="str">
        <f ca="1">IFERROR(__xludf.DUMMYFUNCTION("""COMPUTED_VALUE"""),"Sri Muktsar Sahib")</f>
        <v>Sri Muktsar Sahib</v>
      </c>
      <c r="C528" s="1" t="str">
        <f ca="1">IFERROR(__xludf.DUMMYFUNCTION("""COMPUTED_VALUE"""),"Electronics and Communications Engineering")</f>
        <v>Electronics and Communications Engineering</v>
      </c>
      <c r="D528" s="1" t="str">
        <f ca="1">IFERROR(__xludf.DUMMYFUNCTION("""COMPUTED_VALUE"""),"SH.AMANDEEP SINGH")</f>
        <v>SH.AMANDEEP SINGH</v>
      </c>
      <c r="E528" s="1" t="str">
        <f ca="1">IFERROR(__xludf.DUMMYFUNCTION("""COMPUTED_VALUE"""),"Lecturer")</f>
        <v>Lecturer</v>
      </c>
      <c r="F528" s="1" t="str">
        <f ca="1">IFERROR(__xludf.DUMMYFUNCTION("""COMPUTED_VALUE"""),"aman.singh1992@punjab.gov.in")</f>
        <v>aman.singh1992@punjab.gov.in</v>
      </c>
      <c r="G528" s="1">
        <f ca="1">IFERROR(__xludf.DUMMYFUNCTION("""COMPUTED_VALUE"""),9877301101)</f>
        <v>9877301101</v>
      </c>
    </row>
    <row r="529" spans="1:7" x14ac:dyDescent="0.3">
      <c r="A529" s="1" t="str">
        <f ca="1">IFERROR(__xludf.DUMMYFUNCTION("""COMPUTED_VALUE"""),"Governement Polytechnic College, Fatuhikhera")</f>
        <v>Governement Polytechnic College, Fatuhikhera</v>
      </c>
      <c r="B529" s="1" t="str">
        <f ca="1">IFERROR(__xludf.DUMMYFUNCTION("""COMPUTED_VALUE"""),"Sri Muktsar Sahib")</f>
        <v>Sri Muktsar Sahib</v>
      </c>
      <c r="C529" s="1" t="str">
        <f ca="1">IFERROR(__xludf.DUMMYFUNCTION("""COMPUTED_VALUE"""),"Electronics and Communications Engineering")</f>
        <v>Electronics and Communications Engineering</v>
      </c>
      <c r="D529" s="1" t="str">
        <f ca="1">IFERROR(__xludf.DUMMYFUNCTION("""COMPUTED_VALUE"""),"SH.AMRITPAL SINGH")</f>
        <v>SH.AMRITPAL SINGH</v>
      </c>
      <c r="E529" s="1" t="str">
        <f ca="1">IFERROR(__xludf.DUMMYFUNCTION("""COMPUTED_VALUE"""),"Lecturer")</f>
        <v>Lecturer</v>
      </c>
      <c r="F529" s="1" t="str">
        <f ca="1">IFERROR(__xludf.DUMMYFUNCTION("""COMPUTED_VALUE"""),"amritpalsingh.1991@punjab.gov.in")</f>
        <v>amritpalsingh.1991@punjab.gov.in</v>
      </c>
      <c r="G529" s="1">
        <f ca="1">IFERROR(__xludf.DUMMYFUNCTION("""COMPUTED_VALUE"""),8054202123)</f>
        <v>8054202123</v>
      </c>
    </row>
    <row r="530" spans="1:7" x14ac:dyDescent="0.3">
      <c r="A530" s="1" t="str">
        <f ca="1">IFERROR(__xludf.DUMMYFUNCTION("""COMPUTED_VALUE"""),"Governement Polytechnic College, Fatuhikhera")</f>
        <v>Governement Polytechnic College, Fatuhikhera</v>
      </c>
      <c r="B530" s="1" t="str">
        <f ca="1">IFERROR(__xludf.DUMMYFUNCTION("""COMPUTED_VALUE"""),"Sri Muktsar Sahib")</f>
        <v>Sri Muktsar Sahib</v>
      </c>
      <c r="C530" s="1" t="str">
        <f ca="1">IFERROR(__xludf.DUMMYFUNCTION("""COMPUTED_VALUE"""),"Electronics and Communications Engineering")</f>
        <v>Electronics and Communications Engineering</v>
      </c>
      <c r="D530" s="1" t="str">
        <f ca="1">IFERROR(__xludf.DUMMYFUNCTION("""COMPUTED_VALUE"""),"SH.ANMOLPREET SINGH")</f>
        <v>SH.ANMOLPREET SINGH</v>
      </c>
      <c r="E530" s="1" t="str">
        <f ca="1">IFERROR(__xludf.DUMMYFUNCTION("""COMPUTED_VALUE"""),"Lecturer")</f>
        <v>Lecturer</v>
      </c>
      <c r="F530" s="1" t="str">
        <f ca="1">IFERROR(__xludf.DUMMYFUNCTION("""COMPUTED_VALUE"""),"anmolpreetsingh.2048@punjab.gov.in")</f>
        <v>anmolpreetsingh.2048@punjab.gov.in</v>
      </c>
      <c r="G530" s="1">
        <f ca="1">IFERROR(__xludf.DUMMYFUNCTION("""COMPUTED_VALUE"""),9888042926)</f>
        <v>9888042926</v>
      </c>
    </row>
    <row r="531" spans="1:7" x14ac:dyDescent="0.3">
      <c r="A531" s="1" t="str">
        <f ca="1">IFERROR(__xludf.DUMMYFUNCTION("""COMPUTED_VALUE"""),"Governement Polytechnic College, Fatuhikhera")</f>
        <v>Governement Polytechnic College, Fatuhikhera</v>
      </c>
      <c r="B531" s="1" t="str">
        <f ca="1">IFERROR(__xludf.DUMMYFUNCTION("""COMPUTED_VALUE"""),"Sri Muktsar Sahib")</f>
        <v>Sri Muktsar Sahib</v>
      </c>
      <c r="C531" s="1" t="str">
        <f ca="1">IFERROR(__xludf.DUMMYFUNCTION("""COMPUTED_VALUE"""),"Mechanical Engineering")</f>
        <v>Mechanical Engineering</v>
      </c>
      <c r="D531" s="1" t="str">
        <f ca="1">IFERROR(__xludf.DUMMYFUNCTION("""COMPUTED_VALUE"""),"SH.SUMIT JAIN")</f>
        <v>SH.SUMIT JAIN</v>
      </c>
      <c r="E531" s="1" t="str">
        <f ca="1">IFERROR(__xludf.DUMMYFUNCTION("""COMPUTED_VALUE"""),"Lecturer")</f>
        <v>Lecturer</v>
      </c>
      <c r="F531" s="1" t="str">
        <f ca="1">IFERROR(__xludf.DUMMYFUNCTION("""COMPUTED_VALUE"""),"sumit.jain1991@punjab.gov.in")</f>
        <v>sumit.jain1991@punjab.gov.in</v>
      </c>
      <c r="G531" s="1">
        <f ca="1">IFERROR(__xludf.DUMMYFUNCTION("""COMPUTED_VALUE"""),9464232356)</f>
        <v>9464232356</v>
      </c>
    </row>
    <row r="532" spans="1:7" x14ac:dyDescent="0.3">
      <c r="A532" s="1" t="str">
        <f ca="1">IFERROR(__xludf.DUMMYFUNCTION("""COMPUTED_VALUE"""),"Governement Polytechnic College, Bhikhiwind")</f>
        <v>Governement Polytechnic College, Bhikhiwind</v>
      </c>
      <c r="B532" s="1" t="str">
        <f ca="1">IFERROR(__xludf.DUMMYFUNCTION("""COMPUTED_VALUE"""),"Tarn Taran")</f>
        <v>Tarn Taran</v>
      </c>
      <c r="C532" s="1" t="str">
        <f ca="1">IFERROR(__xludf.DUMMYFUNCTION("""COMPUTED_VALUE"""),"Mechanical Engineering")</f>
        <v>Mechanical Engineering</v>
      </c>
      <c r="D532" s="1" t="str">
        <f ca="1">IFERROR(__xludf.DUMMYFUNCTION("""COMPUTED_VALUE"""),"Sh. Aman Chadha")</f>
        <v>Sh. Aman Chadha</v>
      </c>
      <c r="E532" s="1" t="str">
        <f ca="1">IFERROR(__xludf.DUMMYFUNCTION("""COMPUTED_VALUE"""),"HOD")</f>
        <v>HOD</v>
      </c>
      <c r="F532" s="1" t="str">
        <f ca="1">IFERROR(__xludf.DUMMYFUNCTION("""COMPUTED_VALUE"""),"amanchadha82@gmail.com")</f>
        <v>amanchadha82@gmail.com</v>
      </c>
      <c r="G532" s="1">
        <f ca="1">IFERROR(__xludf.DUMMYFUNCTION("""COMPUTED_VALUE"""),9501113457)</f>
        <v>9501113457</v>
      </c>
    </row>
    <row r="533" spans="1:7" x14ac:dyDescent="0.3">
      <c r="A533" s="1" t="str">
        <f ca="1">IFERROR(__xludf.DUMMYFUNCTION("""COMPUTED_VALUE"""),"Governement Polytechnic College, Bhikhiwind")</f>
        <v>Governement Polytechnic College, Bhikhiwind</v>
      </c>
      <c r="B533" s="1" t="str">
        <f ca="1">IFERROR(__xludf.DUMMYFUNCTION("""COMPUTED_VALUE"""),"Tarn Taran")</f>
        <v>Tarn Taran</v>
      </c>
      <c r="C533" s="1" t="str">
        <f ca="1">IFERROR(__xludf.DUMMYFUNCTION("""COMPUTED_VALUE"""),"Electronics and Communications Engineering")</f>
        <v>Electronics and Communications Engineering</v>
      </c>
      <c r="D533" s="1" t="str">
        <f ca="1">IFERROR(__xludf.DUMMYFUNCTION("""COMPUTED_VALUE"""),"Sh. Dilpal Singh")</f>
        <v>Sh. Dilpal Singh</v>
      </c>
      <c r="E533" s="1" t="str">
        <f ca="1">IFERROR(__xludf.DUMMYFUNCTION("""COMPUTED_VALUE"""),"Lecturer")</f>
        <v>Lecturer</v>
      </c>
      <c r="F533" s="1" t="str">
        <f ca="1">IFERROR(__xludf.DUMMYFUNCTION("""COMPUTED_VALUE"""),"dilpal.singh01@gmail.com")</f>
        <v>dilpal.singh01@gmail.com</v>
      </c>
      <c r="G533" s="1">
        <f ca="1">IFERROR(__xludf.DUMMYFUNCTION("""COMPUTED_VALUE"""),9958977279)</f>
        <v>9958977279</v>
      </c>
    </row>
    <row r="534" spans="1:7" x14ac:dyDescent="0.3">
      <c r="A534" s="1" t="str">
        <f ca="1">IFERROR(__xludf.DUMMYFUNCTION("""COMPUTED_VALUE"""),"Governement Polytechnic College, Bhikhiwind")</f>
        <v>Governement Polytechnic College, Bhikhiwind</v>
      </c>
      <c r="B534" s="1" t="str">
        <f ca="1">IFERROR(__xludf.DUMMYFUNCTION("""COMPUTED_VALUE"""),"Tarn Taran")</f>
        <v>Tarn Taran</v>
      </c>
      <c r="C534" s="1" t="str">
        <f ca="1">IFERROR(__xludf.DUMMYFUNCTION("""COMPUTED_VALUE"""),"Electronics and Communications Engineering")</f>
        <v>Electronics and Communications Engineering</v>
      </c>
      <c r="D534" s="1" t="str">
        <f ca="1">IFERROR(__xludf.DUMMYFUNCTION("""COMPUTED_VALUE"""),"Sh. Gurjinder Singh")</f>
        <v>Sh. Gurjinder Singh</v>
      </c>
      <c r="E534" s="1" t="str">
        <f ca="1">IFERROR(__xludf.DUMMYFUNCTION("""COMPUTED_VALUE"""),"Lecturer")</f>
        <v>Lecturer</v>
      </c>
      <c r="F534" s="1" t="str">
        <f ca="1">IFERROR(__xludf.DUMMYFUNCTION("""COMPUTED_VALUE"""),"sidhu.therebel@gmail.com")</f>
        <v>sidhu.therebel@gmail.com</v>
      </c>
      <c r="G534" s="1">
        <f ca="1">IFERROR(__xludf.DUMMYFUNCTION("""COMPUTED_VALUE"""),7837656654)</f>
        <v>7837656654</v>
      </c>
    </row>
    <row r="535" spans="1:7" x14ac:dyDescent="0.3">
      <c r="A535" s="1" t="str">
        <f ca="1">IFERROR(__xludf.DUMMYFUNCTION("""COMPUTED_VALUE"""),"Governement Polytechnic College, Bhikhiwind")</f>
        <v>Governement Polytechnic College, Bhikhiwind</v>
      </c>
      <c r="B535" s="1" t="str">
        <f ca="1">IFERROR(__xludf.DUMMYFUNCTION("""COMPUTED_VALUE"""),"Tarn Taran")</f>
        <v>Tarn Taran</v>
      </c>
      <c r="C535" s="1" t="str">
        <f ca="1">IFERROR(__xludf.DUMMYFUNCTION("""COMPUTED_VALUE"""),"Mechanical Engineering")</f>
        <v>Mechanical Engineering</v>
      </c>
      <c r="D535" s="1" t="str">
        <f ca="1">IFERROR(__xludf.DUMMYFUNCTION("""COMPUTED_VALUE"""),"Sh. Harmanpreet Singh")</f>
        <v>Sh. Harmanpreet Singh</v>
      </c>
      <c r="E535" s="1" t="str">
        <f ca="1">IFERROR(__xludf.DUMMYFUNCTION("""COMPUTED_VALUE"""),"Sr. Lecturer")</f>
        <v>Sr. Lecturer</v>
      </c>
      <c r="F535" s="1" t="str">
        <f ca="1">IFERROR(__xludf.DUMMYFUNCTION("""COMPUTED_VALUE"""),"harman.asr@gmail.com")</f>
        <v>harman.asr@gmail.com</v>
      </c>
      <c r="G535" s="1">
        <f ca="1">IFERROR(__xludf.DUMMYFUNCTION("""COMPUTED_VALUE"""),9501104904)</f>
        <v>9501104904</v>
      </c>
    </row>
    <row r="536" spans="1:7" x14ac:dyDescent="0.3">
      <c r="A536" s="1" t="str">
        <f ca="1">IFERROR(__xludf.DUMMYFUNCTION("""COMPUTED_VALUE"""),"Governement Polytechnic College, Bhikhiwind")</f>
        <v>Governement Polytechnic College, Bhikhiwind</v>
      </c>
      <c r="B536" s="1" t="str">
        <f ca="1">IFERROR(__xludf.DUMMYFUNCTION("""COMPUTED_VALUE"""),"Tarn Taran")</f>
        <v>Tarn Taran</v>
      </c>
      <c r="C536" s="1" t="str">
        <f ca="1">IFERROR(__xludf.DUMMYFUNCTION("""COMPUTED_VALUE"""),"Electrical Engineering")</f>
        <v>Electrical Engineering</v>
      </c>
      <c r="D536" s="1" t="str">
        <f ca="1">IFERROR(__xludf.DUMMYFUNCTION("""COMPUTED_VALUE"""),"Sh. Raman Kumar")</f>
        <v>Sh. Raman Kumar</v>
      </c>
      <c r="E536" s="1" t="str">
        <f ca="1">IFERROR(__xludf.DUMMYFUNCTION("""COMPUTED_VALUE"""),"HOD")</f>
        <v>HOD</v>
      </c>
      <c r="F536" s="1" t="str">
        <f ca="1">IFERROR(__xludf.DUMMYFUNCTION("""COMPUTED_VALUE"""),"mongaramankumar@gmail.com")</f>
        <v>mongaramankumar@gmail.com</v>
      </c>
      <c r="G536" s="1">
        <f ca="1">IFERROR(__xludf.DUMMYFUNCTION("""COMPUTED_VALUE"""),9463000344)</f>
        <v>9463000344</v>
      </c>
    </row>
    <row r="537" spans="1:7" x14ac:dyDescent="0.3">
      <c r="A537" s="1" t="str">
        <f ca="1">IFERROR(__xludf.DUMMYFUNCTION("""COMPUTED_VALUE"""),"Governement Polytechnic College, Bhikhiwind")</f>
        <v>Governement Polytechnic College, Bhikhiwind</v>
      </c>
      <c r="B537" s="1" t="str">
        <f ca="1">IFERROR(__xludf.DUMMYFUNCTION("""COMPUTED_VALUE"""),"Tarn Taran")</f>
        <v>Tarn Taran</v>
      </c>
      <c r="C537" s="1" t="str">
        <f ca="1">IFERROR(__xludf.DUMMYFUNCTION("""COMPUTED_VALUE"""),"Mechanical Engineering")</f>
        <v>Mechanical Engineering</v>
      </c>
      <c r="D537" s="1" t="str">
        <f ca="1">IFERROR(__xludf.DUMMYFUNCTION("""COMPUTED_VALUE"""),"Sh. Satnam Singh")</f>
        <v>Sh. Satnam Singh</v>
      </c>
      <c r="E537" s="1" t="str">
        <f ca="1">IFERROR(__xludf.DUMMYFUNCTION("""COMPUTED_VALUE"""),"Lecturer")</f>
        <v>Lecturer</v>
      </c>
      <c r="F537" s="1" t="str">
        <f ca="1">IFERROR(__xludf.DUMMYFUNCTION("""COMPUTED_VALUE"""),"Tjyrdfe@gmail.com")</f>
        <v>Tjyrdfe@gmail.com</v>
      </c>
      <c r="G537" s="1">
        <f ca="1">IFERROR(__xludf.DUMMYFUNCTION("""COMPUTED_VALUE"""),8528681242)</f>
        <v>8528681242</v>
      </c>
    </row>
    <row r="538" spans="1:7" x14ac:dyDescent="0.3">
      <c r="A538" s="1" t="str">
        <f ca="1">IFERROR(__xludf.DUMMYFUNCTION("""COMPUTED_VALUE"""),"Governement Polytechnic College, Bhikhiwind")</f>
        <v>Governement Polytechnic College, Bhikhiwind</v>
      </c>
      <c r="B538" s="1" t="str">
        <f ca="1">IFERROR(__xludf.DUMMYFUNCTION("""COMPUTED_VALUE"""),"Tarn Taran")</f>
        <v>Tarn Taran</v>
      </c>
      <c r="C538" s="1" t="str">
        <f ca="1">IFERROR(__xludf.DUMMYFUNCTION("""COMPUTED_VALUE"""),"Electronics and Communications Engineering")</f>
        <v>Electronics and Communications Engineering</v>
      </c>
      <c r="D538" s="1" t="str">
        <f ca="1">IFERROR(__xludf.DUMMYFUNCTION("""COMPUTED_VALUE"""),"Sh. Sharanjot Singh")</f>
        <v>Sh. Sharanjot Singh</v>
      </c>
      <c r="E538" s="1" t="str">
        <f ca="1">IFERROR(__xludf.DUMMYFUNCTION("""COMPUTED_VALUE"""),"HOD")</f>
        <v>HOD</v>
      </c>
      <c r="F538" s="1" t="str">
        <f ca="1">IFERROR(__xludf.DUMMYFUNCTION("""COMPUTED_VALUE"""),"sharan_c@rediffmail.com")</f>
        <v>sharan_c@rediffmail.com</v>
      </c>
      <c r="G538" s="1">
        <f ca="1">IFERROR(__xludf.DUMMYFUNCTION("""COMPUTED_VALUE"""),9876251565)</f>
        <v>9876251565</v>
      </c>
    </row>
    <row r="539" spans="1:7" x14ac:dyDescent="0.3">
      <c r="A539" s="1" t="str">
        <f ca="1">IFERROR(__xludf.DUMMYFUNCTION("""COMPUTED_VALUE"""),"Governement Polytechnic College, Bhikhiwind")</f>
        <v>Governement Polytechnic College, Bhikhiwind</v>
      </c>
      <c r="B539" s="1" t="str">
        <f ca="1">IFERROR(__xludf.DUMMYFUNCTION("""COMPUTED_VALUE"""),"Tarn Taran")</f>
        <v>Tarn Taran</v>
      </c>
      <c r="C539" s="1" t="str">
        <f ca="1">IFERROR(__xludf.DUMMYFUNCTION("""COMPUTED_VALUE"""),"Computer Science and Engineering")</f>
        <v>Computer Science and Engineering</v>
      </c>
      <c r="D539" s="1" t="str">
        <f ca="1">IFERROR(__xludf.DUMMYFUNCTION("""COMPUTED_VALUE"""),"Sh. Sunny Dhawan")</f>
        <v>Sh. Sunny Dhawan</v>
      </c>
      <c r="E539" s="1" t="str">
        <f ca="1">IFERROR(__xludf.DUMMYFUNCTION("""COMPUTED_VALUE"""),"Lecturer")</f>
        <v>Lecturer</v>
      </c>
      <c r="F539" s="1" t="str">
        <f ca="1">IFERROR(__xludf.DUMMYFUNCTION("""COMPUTED_VALUE"""),"gpcsunnydhawan@gmail.com")</f>
        <v>gpcsunnydhawan@gmail.com</v>
      </c>
      <c r="G539" s="1">
        <f ca="1">IFERROR(__xludf.DUMMYFUNCTION("""COMPUTED_VALUE"""),7837128009)</f>
        <v>7837128009</v>
      </c>
    </row>
    <row r="540" spans="1:7" x14ac:dyDescent="0.3">
      <c r="A540" s="1" t="str">
        <f ca="1">IFERROR(__xludf.DUMMYFUNCTION("""COMPUTED_VALUE"""),"Governement Polytechnic College, Bhikhiwind")</f>
        <v>Governement Polytechnic College, Bhikhiwind</v>
      </c>
      <c r="B540" s="1" t="str">
        <f ca="1">IFERROR(__xludf.DUMMYFUNCTION("""COMPUTED_VALUE"""),"Tarn Taran")</f>
        <v>Tarn Taran</v>
      </c>
      <c r="C540" s="1" t="str">
        <f ca="1">IFERROR(__xludf.DUMMYFUNCTION("""COMPUTED_VALUE"""),"Applied Science")</f>
        <v>Applied Science</v>
      </c>
      <c r="D540" s="1" t="str">
        <f ca="1">IFERROR(__xludf.DUMMYFUNCTION("""COMPUTED_VALUE"""),"Sh.Naveen Kumar")</f>
        <v>Sh.Naveen Kumar</v>
      </c>
      <c r="E540" s="1" t="str">
        <f ca="1">IFERROR(__xludf.DUMMYFUNCTION("""COMPUTED_VALUE"""),"Lecturer")</f>
        <v>Lecturer</v>
      </c>
      <c r="F540" s="1" t="str">
        <f ca="1">IFERROR(__xludf.DUMMYFUNCTION("""COMPUTED_VALUE"""),"naveenksl12@gmail.com")</f>
        <v>naveenksl12@gmail.com</v>
      </c>
      <c r="G540" s="1">
        <f ca="1">IFERROR(__xludf.DUMMYFUNCTION("""COMPUTED_VALUE"""),9855939997)</f>
        <v>9855939997</v>
      </c>
    </row>
    <row r="541" spans="1:7" x14ac:dyDescent="0.3">
      <c r="A541" s="1" t="str">
        <f ca="1">IFERROR(__xludf.DUMMYFUNCTION("""COMPUTED_VALUE"""),"Governement Polytechnic College, Bhikhiwind")</f>
        <v>Governement Polytechnic College, Bhikhiwind</v>
      </c>
      <c r="B541" s="1" t="str">
        <f ca="1">IFERROR(__xludf.DUMMYFUNCTION("""COMPUTED_VALUE"""),"Tarn Taran")</f>
        <v>Tarn Taran</v>
      </c>
      <c r="C541" s="1" t="str">
        <f ca="1">IFERROR(__xludf.DUMMYFUNCTION("""COMPUTED_VALUE"""),"Electrical Engineering")</f>
        <v>Electrical Engineering</v>
      </c>
      <c r="D541" s="1" t="str">
        <f ca="1">IFERROR(__xludf.DUMMYFUNCTION("""COMPUTED_VALUE"""),"Sh.Sukhdeep Singh")</f>
        <v>Sh.Sukhdeep Singh</v>
      </c>
      <c r="E541" s="1" t="str">
        <f ca="1">IFERROR(__xludf.DUMMYFUNCTION("""COMPUTED_VALUE"""),"Sr. Lecturer")</f>
        <v>Sr. Lecturer</v>
      </c>
      <c r="F541" s="1" t="str">
        <f ca="1">IFERROR(__xludf.DUMMYFUNCTION("""COMPUTED_VALUE"""),"Sukhdeepvaltoha1985@gmail.com")</f>
        <v>Sukhdeepvaltoha1985@gmail.com</v>
      </c>
      <c r="G541" s="1">
        <f ca="1">IFERROR(__xludf.DUMMYFUNCTION("""COMPUTED_VALUE"""),7087285001)</f>
        <v>7087285001</v>
      </c>
    </row>
    <row r="542" spans="1:7" x14ac:dyDescent="0.3">
      <c r="A542" s="1" t="str">
        <f ca="1">IFERROR(__xludf.DUMMYFUNCTION("""COMPUTED_VALUE"""),"Governement Polytechnic College, Bhikhiwind")</f>
        <v>Governement Polytechnic College, Bhikhiwind</v>
      </c>
      <c r="B542" s="1" t="str">
        <f ca="1">IFERROR(__xludf.DUMMYFUNCTION("""COMPUTED_VALUE"""),"Tarn Taran")</f>
        <v>Tarn Taran</v>
      </c>
      <c r="C542" s="1" t="str">
        <f ca="1">IFERROR(__xludf.DUMMYFUNCTION("""COMPUTED_VALUE"""),"Mechanical Engineering")</f>
        <v>Mechanical Engineering</v>
      </c>
      <c r="D542" s="1" t="str">
        <f ca="1">IFERROR(__xludf.DUMMYFUNCTION("""COMPUTED_VALUE"""),"Sh.Vijay Kumar")</f>
        <v>Sh.Vijay Kumar</v>
      </c>
      <c r="E542" s="1" t="str">
        <f ca="1">IFERROR(__xludf.DUMMYFUNCTION("""COMPUTED_VALUE"""),"Sr. Lecturer")</f>
        <v>Sr. Lecturer</v>
      </c>
      <c r="F542" s="1" t="str">
        <f ca="1">IFERROR(__xludf.DUMMYFUNCTION("""COMPUTED_VALUE"""),"vijay24873@gmail.com")</f>
        <v>vijay24873@gmail.com</v>
      </c>
      <c r="G542" s="1">
        <f ca="1">IFERROR(__xludf.DUMMYFUNCTION("""COMPUTED_VALUE"""),9988067674)</f>
        <v>9988067674</v>
      </c>
    </row>
    <row r="543" spans="1:7" x14ac:dyDescent="0.3">
      <c r="A543" s="1" t="str">
        <f ca="1">IFERROR(__xludf.DUMMYFUNCTION("""COMPUTED_VALUE"""),"Governement Polytechnic College, Bhikhiwind")</f>
        <v>Governement Polytechnic College, Bhikhiwind</v>
      </c>
      <c r="B543" s="1" t="str">
        <f ca="1">IFERROR(__xludf.DUMMYFUNCTION("""COMPUTED_VALUE"""),"Tarn Taran")</f>
        <v>Tarn Taran</v>
      </c>
      <c r="C543" s="1" t="str">
        <f ca="1">IFERROR(__xludf.DUMMYFUNCTION("""COMPUTED_VALUE"""),"Computer Science and Engineering")</f>
        <v>Computer Science and Engineering</v>
      </c>
      <c r="D543" s="1" t="str">
        <f ca="1">IFERROR(__xludf.DUMMYFUNCTION("""COMPUTED_VALUE"""),"Smt. Harpreet Kaur")</f>
        <v>Smt. Harpreet Kaur</v>
      </c>
      <c r="E543" s="1" t="str">
        <f ca="1">IFERROR(__xludf.DUMMYFUNCTION("""COMPUTED_VALUE"""),"HOD")</f>
        <v>HOD</v>
      </c>
      <c r="F543" s="1" t="str">
        <f ca="1">IFERROR(__xludf.DUMMYFUNCTION("""COMPUTED_VALUE"""),"Hpkgill72@gmail.com")</f>
        <v>Hpkgill72@gmail.com</v>
      </c>
      <c r="G543" s="1">
        <f ca="1">IFERROR(__xludf.DUMMYFUNCTION("""COMPUTED_VALUE"""),9464250736)</f>
        <v>9464250736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2026-03-13T11:50:40Z</dcterms:created>
  <dcterms:modified xsi:type="dcterms:W3CDTF">2026-03-13T12:21:32Z</dcterms:modified>
</cp:coreProperties>
</file>